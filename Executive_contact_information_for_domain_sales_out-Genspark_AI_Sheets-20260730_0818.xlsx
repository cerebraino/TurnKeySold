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tabRatio="500"/>
  </bookViews>
  <sheets>
    <sheet r:id="rId1" name="Outreach_Contacts" sheetId="1"/>
  </sheets>
  <calcPr calcId="0" iterate="1" iterateCount="1000" iterateDelta="0.01"/>
</workbook>
</file>

<file path=xl/sharedStrings.xml><?xml version="1.0" encoding="utf-8"?>
<sst xmlns="http://schemas.openxmlformats.org/spreadsheetml/2006/main" count="815" uniqueCount="815">
  <si>
    <t>Domain Outreach Contact List — 119 Executives (Priority-Ranked, Batches 1-4)</t>
  </si>
  <si>
    <t>Sources: LinkedIn, X/Twitter, Wikipedia, RocketReach, ZoomInfo, company websites | Data compiled 2026-07-30 | Confidence: H=verified 2+ sources, M=1 source, L=inferred/company-level fallback</t>
  </si>
  <si>
    <t>#</t>
  </si>
  <si>
    <t>Priority</t>
  </si>
  <si>
    <t>Batch</t>
  </si>
  <si>
    <t>Name</t>
  </si>
  <si>
    <t>Title</t>
  </si>
  <si>
    <t>Company</t>
  </si>
  <si>
    <t>Domain Offered</t>
  </si>
  <si>
    <t>Price</t>
  </si>
  <si>
    <t>LinkedIn</t>
  </si>
  <si>
    <t>Twitter/X</t>
  </si>
  <si>
    <t>Email (verified/likely)</t>
  </si>
  <si>
    <t>Conf.</t>
  </si>
  <si>
    <t>Pitch Angle</t>
  </si>
  <si>
    <t>P1</t>
  </si>
  <si>
    <t>B1</t>
  </si>
  <si>
    <t>Zachariah Reitano</t>
  </si>
  <si>
    <t>Co-Founder &amp; CEO</t>
  </si>
  <si>
    <t>Ro</t>
  </si>
  <si>
    <t>buyslimmeds.com</t>
  </si>
  <si>
    <t>$23K</t>
  </si>
  <si>
    <t>linkedin.com/in/zachariah-reitano</t>
  </si>
  <si>
    <t>@zreitano</t>
  </si>
  <si>
    <t>zachariah@ro.co</t>
  </si>
  <si>
    <t>H</t>
  </si>
  <si>
    <t>Ro is #1 telehealth for GLP-1/weight-loss meds — 'buyslimmeds.com' is DTC traffic magnet for their fastest-growing category.</t>
  </si>
  <si>
    <t>Andrew Dudum</t>
  </si>
  <si>
    <t>Founder &amp; CEO</t>
  </si>
  <si>
    <t>Hims &amp; Hers Health</t>
  </si>
  <si>
    <t>bestslimmeds.com</t>
  </si>
  <si>
    <t>$20K</t>
  </si>
  <si>
    <t>linkedin.com/in/andrewdudum</t>
  </si>
  <si>
    <t>@AndrewDudum</t>
  </si>
  <si>
    <t>investors@hims.com</t>
  </si>
  <si>
    <t>Hims &amp; Hers just launched compounded GLP-1s; 'bestslimmeds' positions them at top of search intent for weight-loss vertical.</t>
  </si>
  <si>
    <t>Feras Antoon</t>
  </si>
  <si>
    <t>Co-Founder &amp; ex-CEO</t>
  </si>
  <si>
    <t>Aylo (fka MindGeek)</t>
  </si>
  <si>
    <t>TopSex.ai</t>
  </si>
  <si>
    <t>$45K</t>
  </si>
  <si>
    <t>linkedin.com/in/feras-antoon</t>
  </si>
  <si>
    <t>(no public handle)</t>
  </si>
  <si>
    <t>info.austin@aylo.com</t>
  </si>
  <si>
    <t>M</t>
  </si>
  <si>
    <t>Owns Pornhub/Aylo — 'TopSex.ai' fuses category leadership with AI wave; category-defining generic for next-gen platform.</t>
  </si>
  <si>
    <t>Sami Inkinen</t>
  </si>
  <si>
    <t>Virta Health</t>
  </si>
  <si>
    <t>curebyketo.com</t>
  </si>
  <si>
    <t>$15K</t>
  </si>
  <si>
    <t>linkedin.com/in/samiinkinen</t>
  </si>
  <si>
    <t>@samiinkinen</t>
  </si>
  <si>
    <t>sami@virtahealth.com</t>
  </si>
  <si>
    <t>Virta's entire thesis is keto-based diabetes reversal — 'curebyketo.com' is literally their mission statement as a URL.</t>
  </si>
  <si>
    <t>Federico Ast</t>
  </si>
  <si>
    <t>Kleros</t>
  </si>
  <si>
    <t>pruebadehumanidad.com</t>
  </si>
  <si>
    <t>$10K</t>
  </si>
  <si>
    <t>linkedin.com/in/federicoast</t>
  </si>
  <si>
    <t>@federicoast</t>
  </si>
  <si>
    <t>contact@kleros.io</t>
  </si>
  <si>
    <t>Kleros builds decentralized justice/proof-of-humanity — 'pruebadehumanidad' is the exact Spanish keyword for LATAM expansion.</t>
  </si>
  <si>
    <t>Olivier Pomel</t>
  </si>
  <si>
    <t>Datadog</t>
  </si>
  <si>
    <t>NoFail.ai</t>
  </si>
  <si>
    <t>linkedin.com/in/olivierpomel</t>
  </si>
  <si>
    <t>@oliveur</t>
  </si>
  <si>
    <t>press@datadoghq.com</t>
  </si>
  <si>
    <t>Datadog's whole product = preventing outages. 'NoFail.ai' is a bumper-sticker for reliability + AI observability.</t>
  </si>
  <si>
    <t>P2</t>
  </si>
  <si>
    <t>Zachariah Reitano (secondary Ro)</t>
  </si>
  <si>
    <t>Ro-adjacent bundle</t>
  </si>
  <si>
    <t>—</t>
  </si>
  <si>
    <t>Secondary bundle opportunity for Ro beyond primary P1 offer.</t>
  </si>
  <si>
    <t>Adam &amp; Eve (PHE) - press/exec office</t>
  </si>
  <si>
    <t>Exec Team (CEO not public)</t>
  </si>
  <si>
    <t>Adam &amp; Eve (PHE Inc.)</t>
  </si>
  <si>
    <t>Adult category domain</t>
  </si>
  <si>
    <t>(no verified LinkedIn — leadership not publicly disclosed)</t>
  </si>
  <si>
    <t>(no handle)</t>
  </si>
  <si>
    <t>press@adameve.com</t>
  </si>
  <si>
    <t>L</t>
  </si>
  <si>
    <t>Largest US adult retail brand. FLAGGED: exec name unverified — use company PR channel.</t>
  </si>
  <si>
    <t>Alex Blania</t>
  </si>
  <si>
    <t>Co-Founder &amp; CEO, Tools for Humanity</t>
  </si>
  <si>
    <t>World (Worldcoin)</t>
  </si>
  <si>
    <t>linkedin.com/in/alex-blania</t>
  </si>
  <si>
    <t>@alexblania</t>
  </si>
  <si>
    <t>press@toolsforhumanity.com</t>
  </si>
  <si>
    <t>World's core product = proof of personhood. 'pruebadehumanidad' is literal Spanish translation for LATAM rollout.</t>
  </si>
  <si>
    <t>Maya Krampf</t>
  </si>
  <si>
    <t>Wholesome Yum</t>
  </si>
  <si>
    <t>Keto/low-carb bundle</t>
  </si>
  <si>
    <t>linkedin.com/in/mayakrampf</t>
  </si>
  <si>
    <t>(no active handle)</t>
  </si>
  <si>
    <t>maya@wholesomeyumfoods.com</t>
  </si>
  <si>
    <t>Wholesome Yum is largest keto recipe brand — natural buyer for keto/low-carb SEO domains.</t>
  </si>
  <si>
    <t>Oliver Kharraz, MD</t>
  </si>
  <si>
    <t>Zocdoc</t>
  </si>
  <si>
    <t>Healthcare booking domain</t>
  </si>
  <si>
    <t>linkedin.com/in/kharraz</t>
  </si>
  <si>
    <t>@oliver_kharraz</t>
  </si>
  <si>
    <t>press@zocdoc.com</t>
  </si>
  <si>
    <t>Zocdoc dominates doctor-booking SEO; strategic domain fits patient-acquisition funnel.</t>
  </si>
  <si>
    <t>Varun Krishna</t>
  </si>
  <si>
    <t>CEO</t>
  </si>
  <si>
    <t>Rocket Companies</t>
  </si>
  <si>
    <t>Mortgage/loan domain</t>
  </si>
  <si>
    <t>linkedin.com/in/varun-krishna</t>
  </si>
  <si>
    <t>investors@rocketcompanies.com</t>
  </si>
  <si>
    <t>Rocket spends $1B+/yr on customer acquisition — category-defining mortgage URL is natural bolt-on.</t>
  </si>
  <si>
    <t>Bill Nash → David McCreight (interim)</t>
  </si>
  <si>
    <t>CEO / Interim CEO</t>
  </si>
  <si>
    <t>CarMax</t>
  </si>
  <si>
    <t>Auto/used-car domain</t>
  </si>
  <si>
    <t>(Nash: no active public profile)</t>
  </si>
  <si>
    <t>investor_relations@carmax.com</t>
  </si>
  <si>
    <t>CarMax = largest US used-car retailer. NOTE: leadership transition Dec 2025.</t>
  </si>
  <si>
    <t>Baja Med Group (CEO not public)</t>
  </si>
  <si>
    <t>Owner/GM</t>
  </si>
  <si>
    <t>Bajamed (Tijuana)</t>
  </si>
  <si>
    <t>Spanish slimmeds/pharmacy domain</t>
  </si>
  <si>
    <t>(no verified individual LinkedIn)</t>
  </si>
  <si>
    <t>info@bajamedgroup.com | +52 664 685-6072</t>
  </si>
  <si>
    <t>GAP FILL: Tijuana cross-border pharmacy targeting US GLP-1 buyers. FLAGGED: no named CEO publicly available.</t>
  </si>
  <si>
    <t>Juan Sebastián Uribe Roa (ex-Head Autos LATAM)</t>
  </si>
  <si>
    <t>ex-Head Vehículos, MELI</t>
  </si>
  <si>
    <t>Mercado Libre Autos</t>
  </si>
  <si>
    <t>Auto/vehicle Spanish domain</t>
  </si>
  <si>
    <t>linkedin.com/in/juan-sebastian-uribe-roa</t>
  </si>
  <si>
    <t>investor@mercadolibre.com</t>
  </si>
  <si>
    <t>GAP FILL: MELI Autos is LATAM's largest auto marketplace. FLAGGED: vehicle-vertical head rotates.</t>
  </si>
  <si>
    <t>Stéphane Pacaud</t>
  </si>
  <si>
    <t>Owner (100% shareholder)</t>
  </si>
  <si>
    <t>WGCZ Holding (XVideos)</t>
  </si>
  <si>
    <t>Spanish adult/traffic domain</t>
  </si>
  <si>
    <t>(no public LinkedIn — highly private)</t>
  </si>
  <si>
    <t>corporate: Krakovská, Prague</t>
  </si>
  <si>
    <t>GAP FILL: XVideos = world's largest adult site. FLAGGED: Pacaud is notoriously reclusive.</t>
  </si>
  <si>
    <t>Bob Brisco</t>
  </si>
  <si>
    <t>Internet Brands (owns Abogado.com)</t>
  </si>
  <si>
    <t>abogado.com adjacencies</t>
  </si>
  <si>
    <t>(no widely-shared LinkedIn)</t>
  </si>
  <si>
    <t>contact@internetbrands.com | 310-280-4000</t>
  </si>
  <si>
    <t>GAP FILL: Abogado.com owned by Internet Brands. FLAGGED: parent-co CEO is decision-maker.</t>
  </si>
  <si>
    <t>P3</t>
  </si>
  <si>
    <t>Aylo post-Antoon leadership (Alexandrou)</t>
  </si>
  <si>
    <t>CEO / LATAM Lead</t>
  </si>
  <si>
    <t>Aylo</t>
  </si>
  <si>
    <t>Spanish adult domain</t>
  </si>
  <si>
    <t>(not publicly listed)</t>
  </si>
  <si>
    <t>info.nicosia@aylo.com</t>
  </si>
  <si>
    <t>Pornhub Español is #1 adult site in Spanish. FLAGGED: LATAM head not publicly named.</t>
  </si>
  <si>
    <t>Anthony Gustin</t>
  </si>
  <si>
    <t>Founder (Perfect Keto/Equip/Lineage)</t>
  </si>
  <si>
    <t>Perfect Keto</t>
  </si>
  <si>
    <t>Keto domain</t>
  </si>
  <si>
    <t>linkedin.com/in/anthony-gustin</t>
  </si>
  <si>
    <t>@dranthonygustin</t>
  </si>
  <si>
    <t>anthony@equipfoods.com</t>
  </si>
  <si>
    <t>Original Perfect Keto founder; still buys keto/health domains for portfolio companies.</t>
  </si>
  <si>
    <t>Flo Crivello</t>
  </si>
  <si>
    <t>Lindy.ai</t>
  </si>
  <si>
    <t>AI-agent/productivity domain</t>
  </si>
  <si>
    <t>linkedin.com/in/florentcrivello</t>
  </si>
  <si>
    <t>@Altimor</t>
  </si>
  <si>
    <t>flo@lindy.ai</t>
  </si>
  <si>
    <t>Lindy is leading AI agent platform; strategic .ai/productivity domains fit expansion.</t>
  </si>
  <si>
    <t>Óscar García Maceiras</t>
  </si>
  <si>
    <t>Inditex (Zara/Pull&amp;Bear)</t>
  </si>
  <si>
    <t>Fashion/retail Spanish domain</t>
  </si>
  <si>
    <t>linkedin.com/in/oscargarciamaceiras</t>
  </si>
  <si>
    <t>inditex.press@inditex.com</t>
  </si>
  <si>
    <t>Inditex owns Pull&amp;Bear, Zara, Bershka; Spanish-language fashion domains for global e-comm push.</t>
  </si>
  <si>
    <t>Sneh Vaswani</t>
  </si>
  <si>
    <t>Miko</t>
  </si>
  <si>
    <t>Kids/robotics/AI domain</t>
  </si>
  <si>
    <t>linkedin.com/in/sneh-vaswani</t>
  </si>
  <si>
    <t>@MikoRobot (co)</t>
  </si>
  <si>
    <t>sneh@miko.ai</t>
  </si>
  <si>
    <t>Miko is category leader in AI kids robotics; premium AI/kids domains fit brand positioning.</t>
  </si>
  <si>
    <t>Aylo LATAM leadership (not named)</t>
  </si>
  <si>
    <t>Head LATAM / Spanish Markets</t>
  </si>
  <si>
    <t>Aylo Spanish</t>
  </si>
  <si>
    <t>Spanish adult vertical domain</t>
  </si>
  <si>
    <t>(not public)</t>
  </si>
  <si>
    <t>GAP FILL: Second Aylo entry for Spanish-market rollout. FLAGGED: no named regional head.</t>
  </si>
  <si>
    <t>Webmotors Brazil exec team (Santander/Carsales JV)</t>
  </si>
  <si>
    <t>CEO / GM</t>
  </si>
  <si>
    <t>Webmotors (São Paulo)</t>
  </si>
  <si>
    <t>Portuguese auto domain</t>
  </si>
  <si>
    <t>(check Santander Brasil press)</t>
  </si>
  <si>
    <t>contato@webmotors.com.br</t>
  </si>
  <si>
    <t>GAP FILL: Webmotors = Brazil's #1 auto marketplace (Santander + Carsales JV); Portuguese auto domain drives Brazil traffic.</t>
  </si>
  <si>
    <t>B2</t>
  </si>
  <si>
    <t>Carlos Brito</t>
  </si>
  <si>
    <t>Partner (ex-CEO AB InBev, 16 yrs)</t>
  </si>
  <si>
    <t>3G Capital</t>
  </si>
  <si>
    <t>Cold Beer bundle</t>
  </si>
  <si>
    <t>linkedin.com/in/carlos-brito1</t>
  </si>
  <si>
    <t>via 3G Capital NY office</t>
  </si>
  <si>
    <t>Built world's largest beer company; 'Cold Beer' is universal consumer language for his life's work.</t>
  </si>
  <si>
    <t>Søren Hagh</t>
  </si>
  <si>
    <t>CEO William Grant &amp; Sons (ex-Heineken Europe Pres.)</t>
  </si>
  <si>
    <t>William Grant &amp; Sons (ex-Heineken)</t>
  </si>
  <si>
    <t>Cold Beer / Chela Fría</t>
  </si>
  <si>
    <t>(LinkedIn: search 'Søren Hagh William Grant')</t>
  </si>
  <si>
    <t>via William Grant &amp; Sons press</t>
  </si>
  <si>
    <t>'Chela Fría' fits LATAM beer/spirits play. FLAGGED: user brief listed him as Heineken LATAM President — actual role was Europe President; left Heineken Dec 2023.</t>
  </si>
  <si>
    <t>Tiago Sada</t>
  </si>
  <si>
    <t>Chief Product Officer</t>
  </si>
  <si>
    <t>Tools for Humanity / World</t>
  </si>
  <si>
    <t>linkedin.com/in/tiagosada</t>
  </si>
  <si>
    <t>@tiagosada</t>
  </si>
  <si>
    <t>tiago@toolsforhumanity.com</t>
  </si>
  <si>
    <t>Mexican product head of World; 'pruebadehumanidad' is his mother tongue's translation of the World brand promise.</t>
  </si>
  <si>
    <t>Marc Bédard</t>
  </si>
  <si>
    <t>Founder, President &amp; CEO</t>
  </si>
  <si>
    <t>Lion Electric Company</t>
  </si>
  <si>
    <t>LaVoiture.ai</t>
  </si>
  <si>
    <t>linkedin.com/in/marc-bedard</t>
  </si>
  <si>
    <t>marc.bedard@thelionelectric.com</t>
  </si>
  <si>
    <t>Quebec's EV manufacturer; 'LaVoiture.ai' = 'The Car.ai' in French — perfect French-Canadian EV/AI play.</t>
  </si>
  <si>
    <t>Ibai Llanos</t>
  </si>
  <si>
    <t>Co-Owner / Streamer</t>
  </si>
  <si>
    <t>KOI (esports)</t>
  </si>
  <si>
    <t>MuyGuay.com</t>
  </si>
  <si>
    <t>(LinkedIn not primary; use X)</t>
  </si>
  <si>
    <t>@IbaiLlanos</t>
  </si>
  <si>
    <t>via KOI: contact@koigg.gg</t>
  </si>
  <si>
    <t>'Muy Guay' is Ibai's signature catchphrase &amp; personal brand — the domain IS him.</t>
  </si>
  <si>
    <t>Courtland Allen</t>
  </si>
  <si>
    <t>Founder</t>
  </si>
  <si>
    <t>Indie Hackers (Stripe)</t>
  </si>
  <si>
    <t>oneguy.org</t>
  </si>
  <si>
    <t>linkedin.com/in/courtlandallen</t>
  </si>
  <si>
    <t>@csallen</t>
  </si>
  <si>
    <t>courtland@indiehackers.com</t>
  </si>
  <si>
    <t>Indie Hackers = community of solo founders / 'one guy' building profitable businesses. Perfect brand fit.</t>
  </si>
  <si>
    <t>Patrick Collison</t>
  </si>
  <si>
    <t>Stripe (owns Indie Hackers)</t>
  </si>
  <si>
    <t>linkedin.com/in/patrickcollison</t>
  </si>
  <si>
    <t>@patrickc</t>
  </si>
  <si>
    <t>patrick@stripe.com</t>
  </si>
  <si>
    <t>Stripe owns Indie Hackers; Patrick personally acquired IH. oneguy.org is on-thesis with Stripe's solopreneur push.</t>
  </si>
  <si>
    <t>Garry Tan</t>
  </si>
  <si>
    <t>President &amp; CEO</t>
  </si>
  <si>
    <t>Y Combinator</t>
  </si>
  <si>
    <t>linkedin.com/in/garrytan</t>
  </si>
  <si>
    <t>@garrytan</t>
  </si>
  <si>
    <t>garry@ycombinator.com</t>
  </si>
  <si>
    <t>YC's ethos = the solo/small-team founder. oneguy.org reinforces YC's brand of the individual builder.</t>
  </si>
  <si>
    <t>Amjad Masad</t>
  </si>
  <si>
    <t>Replit</t>
  </si>
  <si>
    <t>linkedin.com/in/amjadmasad</t>
  </si>
  <si>
    <t>@amasad</t>
  </si>
  <si>
    <t>amjad@replit.com</t>
  </si>
  <si>
    <t>Replit's tagline enables 'one person to build a company'; oneguy.org is direct thesis match.</t>
  </si>
  <si>
    <t>Jorge Hank Rhon</t>
  </si>
  <si>
    <t>Owner / Founder</t>
  </si>
  <si>
    <t>Grupo Caliente</t>
  </si>
  <si>
    <t>apuesto/teapuesto family</t>
  </si>
  <si>
    <t>(not on LinkedIn — private)</t>
  </si>
  <si>
    <t>via Grupo Caliente Tijuana HQ</t>
  </si>
  <si>
    <t>Mexico's largest sports betting operator; 'apuesto/teapuesto' domains are direct-intent Spanish gambling keywords. FLAGGED: avoids public digital channels.</t>
  </si>
  <si>
    <t>Vicente Di Loreto (ex-CEO, now Board)</t>
  </si>
  <si>
    <t>Board Member (ex-CEO 2018-22)</t>
  </si>
  <si>
    <t>Codere</t>
  </si>
  <si>
    <t>linkedin.com/in/vicente-di-loreto</t>
  </si>
  <si>
    <t>ir@codere.com</t>
  </si>
  <si>
    <t>Codere = major LATAM/Spain gambling operator; Spanish betting-intent domains fit their SEO. NOTE: Di Loreto left CEO role Feb 2022.</t>
  </si>
  <si>
    <t>Shayne Coplan</t>
  </si>
  <si>
    <t>Polymarket</t>
  </si>
  <si>
    <t>apuesto/teapuesto family (LATAM)</t>
  </si>
  <si>
    <t>linkedin.com/in/shaynecoplan</t>
  </si>
  <si>
    <t>@shayne_coplan</t>
  </si>
  <si>
    <t>dustin@polymarket.com</t>
  </si>
  <si>
    <t>Polymarket expanding to LATAM via prediction markets = betting-adjacent; Spanish-intent domains are direct funnel.</t>
  </si>
  <si>
    <t>Lincoln Ando</t>
  </si>
  <si>
    <t>idwall</t>
  </si>
  <si>
    <t>Brazilian identity/proof domain</t>
  </si>
  <si>
    <t>linkedin.com/in/lincoln-ando</t>
  </si>
  <si>
    <t>lincoln@idwall.co</t>
  </si>
  <si>
    <t>idwall = Brazil's leading digital identity/KYC platform (Serasa-owned); Portuguese identity-verification domain fits.</t>
  </si>
  <si>
    <t>Mariusz Gralewski</t>
  </si>
  <si>
    <t>Docplanner / Doctoralia</t>
  </si>
  <si>
    <t>Spanish health-booking domain</t>
  </si>
  <si>
    <t>linkedin.com/in/mariusz-gralewski</t>
  </si>
  <si>
    <t>mariusz@docplanner.com</t>
  </si>
  <si>
    <t>Doctoralia = leading Spanish/Portuguese health-booking platform; category-defining Spanish health domain = massive SEO value.</t>
  </si>
  <si>
    <t>Anthony Hsieh (permanent CEO July 2025)</t>
  </si>
  <si>
    <t>loanDepot</t>
  </si>
  <si>
    <t>Loan/mortgage domain</t>
  </si>
  <si>
    <t>linkedin.com/in/anthony-hsieh</t>
  </si>
  <si>
    <t>investor.relations@loandepot.com</t>
  </si>
  <si>
    <t>loanDepot spends heavily on digital acquisition; premium mortgage domain fits growth strategy.</t>
  </si>
  <si>
    <t>LendingTree (Doug Lebda deceased Oct 2025 — successor TBD)</t>
  </si>
  <si>
    <t>CEO (transition)</t>
  </si>
  <si>
    <t>LendingTree</t>
  </si>
  <si>
    <t>Loan/finance domain</t>
  </si>
  <si>
    <t>linkedin.com/in/douglebda (legacy)</t>
  </si>
  <si>
    <t>@DougLebda (legacy)</t>
  </si>
  <si>
    <t>investors@lendingtree.com</t>
  </si>
  <si>
    <t>Doug Lebda passed Oct 2025; new CEO taking over. Loan-comparison domain still fits company thesis. FLAGGED: leadership transition.</t>
  </si>
  <si>
    <t>Anthony Noto</t>
  </si>
  <si>
    <t>SoFi</t>
  </si>
  <si>
    <t>Finance/loan/banking domain</t>
  </si>
  <si>
    <t>linkedin.com/in/anthonynoto</t>
  </si>
  <si>
    <t>@anthonynoto</t>
  </si>
  <si>
    <t>anthony@sofi.com</t>
  </si>
  <si>
    <t>SoFi is the multi-product neobank; category-defining finance domain fits their omnichannel brand.</t>
  </si>
  <si>
    <t>Emmanuel Straschnov &amp; Josh Haas</t>
  </si>
  <si>
    <t>Co-Founders &amp; Co-CEOs</t>
  </si>
  <si>
    <t>Bubble.io</t>
  </si>
  <si>
    <t>No-code/build domain</t>
  </si>
  <si>
    <t>linkedin.com/in/straschnov</t>
  </si>
  <si>
    <t>(Bubble: @bubble)</t>
  </si>
  <si>
    <t>emmanuel@bubble.io</t>
  </si>
  <si>
    <t>Bubble = leading no-code platform; premium build/no-code domain fits their positioning.</t>
  </si>
  <si>
    <t>Chris Best</t>
  </si>
  <si>
    <t>Substack</t>
  </si>
  <si>
    <t>Writer/creator domain</t>
  </si>
  <si>
    <t>linkedin.com/in/cjgbest</t>
  </si>
  <si>
    <t>@chrisbest</t>
  </si>
  <si>
    <t>chris@substack.com</t>
  </si>
  <si>
    <t>Substack owns the writer-monetization category; adjacent creator domains fit expansion.</t>
  </si>
  <si>
    <t>Martí Manent</t>
  </si>
  <si>
    <t>elAbogado.com</t>
  </si>
  <si>
    <t>Spanish legal-intent domain</t>
  </si>
  <si>
    <t>(LinkedIn: search 'Martí Manent elAbogado')</t>
  </si>
  <si>
    <t>info@elabogado.com</t>
  </si>
  <si>
    <t>elAbogado = leading Spanish-market lawyer directory (14K+ attorneys, 800K users); Spanish legal domains fit directly.</t>
  </si>
  <si>
    <t>Blueheart leadership (small startup)</t>
  </si>
  <si>
    <t>CEO / Co-Founder</t>
  </si>
  <si>
    <t>Blueheart (sexual wellness)</t>
  </si>
  <si>
    <t>TopSex.ai (health angle)</t>
  </si>
  <si>
    <t>(search 'Blueheart app founder LinkedIn')</t>
  </si>
  <si>
    <t>hello@blueheart.io</t>
  </si>
  <si>
    <t>Blueheart = couples' sexual wellness app; TopSex.ai bridges health + AI positioning. FLAGGED: small startup, founder identity requires direct outreach.</t>
  </si>
  <si>
    <t>Ernie Garcia III</t>
  </si>
  <si>
    <t>Carvana</t>
  </si>
  <si>
    <t>Auto/car domain</t>
  </si>
  <si>
    <t>linkedin.com/in/ernie-garcia</t>
  </si>
  <si>
    <t>investors@carvana.com</t>
  </si>
  <si>
    <t>Carvana is #2 US online used-car; premium auto domain fits their DTC growth phase.</t>
  </si>
  <si>
    <t>Justin Schreiber</t>
  </si>
  <si>
    <t>Chairman &amp; CEO</t>
  </si>
  <si>
    <t>LifeMD (Henry Meds adjacent)</t>
  </si>
  <si>
    <t>GLP-1/slimmeds domain</t>
  </si>
  <si>
    <t>linkedin.com/in/justinschreiber</t>
  </si>
  <si>
    <t>justins@lifemd.com</t>
  </si>
  <si>
    <t>LifeMD operates in same GLP-1 telehealth category as Henry Meds. FLAGGED: user brief may confuse LifeMD with Henry Meds — Henry Meds' Kyle Robertson exited; use LifeMD as adjacent buyer.</t>
  </si>
  <si>
    <t>Henry Meds — current leadership (Kyle Robertson founder, exited)</t>
  </si>
  <si>
    <t>Current CEO TBD</t>
  </si>
  <si>
    <t>Henry Meds</t>
  </si>
  <si>
    <t>(Robertson legacy: linkedin.com/in/kyle-robertson)</t>
  </si>
  <si>
    <t>hello@henrymeds.com</t>
  </si>
  <si>
    <t>Direct Henry Meds outreach; same buyer thesis as Ro/Hims. FLAGGED: leadership change ongoing.</t>
  </si>
  <si>
    <t>Melynda Barnes, MD (secondary Ro contact)</t>
  </si>
  <si>
    <t>Chief Medical Officer</t>
  </si>
  <si>
    <t>buyslimmeds.com support</t>
  </si>
  <si>
    <t>(search 'Melynda Barnes Ro LinkedIn')</t>
  </si>
  <si>
    <t>press@ro.co</t>
  </si>
  <si>
    <t>Secondary decision-influencer at Ro for medical-domain purchases; supports Reitano outreach.</t>
  </si>
  <si>
    <t>Alex Behring (3G Capital co-founder)</t>
  </si>
  <si>
    <t>Managing Partner</t>
  </si>
  <si>
    <t>(search 'Alex Behring 3G Capital LinkedIn')</t>
  </si>
  <si>
    <t>Behring is Brito's longtime partner at 3G; parallel outreach for Cold Beer bundle.</t>
  </si>
  <si>
    <t>B3</t>
  </si>
  <si>
    <t>Jean Jereissati Neto</t>
  </si>
  <si>
    <t>CEO Middle Americas (former AmBev CEO)</t>
  </si>
  <si>
    <t>AB InBev / Ambev</t>
  </si>
  <si>
    <t>Cold Beer bundle (Brazil/LATAM)</t>
  </si>
  <si>
    <t>linkedin.com/in/jeanjereissati</t>
  </si>
  <si>
    <t>jean.jereissati@ab-inbev.com</t>
  </si>
  <si>
    <t>Ex-AmBev CEO now runs AB InBev Middle Americas (Mexico/LATAM); Cold Beer bundle fits Brazil's beer culture and his Portuguese/Spanish market portfolio.</t>
  </si>
  <si>
    <t>Marc Busain</t>
  </si>
  <si>
    <t>CEO Lipton Teas (former Heineken President Americas, incl. LATAM)</t>
  </si>
  <si>
    <t>Lipton Teas &amp; Infusions (ex-Heineken)</t>
  </si>
  <si>
    <t>Cold Beer / Chela Fría (LATAM)</t>
  </si>
  <si>
    <t>linkedin.com/in/marc-busain</t>
  </si>
  <si>
    <t>via Lipton Teas press / Heineken alumni network</t>
  </si>
  <si>
    <t>Ran Heineken Americas (including LATAM) from 2015-Oct 2025; deep beverage-brand relationships. NOTE: user's brief targets 'Heineken LATAM President' — Busain WAS President Americas covering LATAM; departed Oct 2025 for Lipton CEO.</t>
  </si>
  <si>
    <t>Juan Pablo de Velasco García</t>
  </si>
  <si>
    <t>Director of Commercial Capabilities &amp; Marketing</t>
  </si>
  <si>
    <t>Coca-Cola FEMSA</t>
  </si>
  <si>
    <t>Cold Beer / LATAM beverage domain</t>
  </si>
  <si>
    <t>linkedin.com/in/juan-pablo-de-velasco-garcia</t>
  </si>
  <si>
    <t>via Coca-Cola FEMSA press (Mexico City)</t>
  </si>
  <si>
    <t>FEMSA is Mexico's largest bottler / OXXO parent; commercial-marketing director controls brand-domain acquisition budgets. GAP FILL: 'FEMSA brand director' is a role, not a name — Velasco is the closest verified match; adjust to Liliana Aranda (Sr. Brand Marketing Coca-Cola brand) if a lower-seniority buyer preferred.</t>
  </si>
  <si>
    <t>Yoshua Bengio</t>
  </si>
  <si>
    <t>Founder &amp; Scientific Advisor Mila; President LawZero; U. de Montréal Professor</t>
  </si>
  <si>
    <t>Mila — Quebec AI Institute / LawZero</t>
  </si>
  <si>
    <t>LaVoiture.ai / AI-Quebec bundle</t>
  </si>
  <si>
    <t>linkedin.com/in/yoshuabengio</t>
  </si>
  <si>
    <t>@Yoshua_Bengio</t>
  </si>
  <si>
    <t>yoshua.bengio@mila.quebec</t>
  </si>
  <si>
    <t>2018 Turing Award winner, deep-learning pioneer, Quebec's most prominent AI figure. LaVoiture.ai fits Quebec's AI+auto ecosystem he catalyzed.</t>
  </si>
  <si>
    <t>Valérie Pisano</t>
  </si>
  <si>
    <t>Mila — Quebec AI Institute</t>
  </si>
  <si>
    <t>linkedin.com/in/valeriepisano</t>
  </si>
  <si>
    <t>valerie.pisano@mila.quebec</t>
  </si>
  <si>
    <t>Runs day-to-day Mila operations &amp; industry partnerships; primary decision-maker for institutional domain purchases in Quebec's AI cluster.</t>
  </si>
  <si>
    <t>Jean-François Gagné</t>
  </si>
  <si>
    <t>Co-Founder Element AI (ex-CEO); now Stealth AI Startup</t>
  </si>
  <si>
    <t>Element AI (ServiceNow) / Stealth</t>
  </si>
  <si>
    <t>LaVoiture.ai / Quebec AI bundle</t>
  </si>
  <si>
    <t>linkedin.com/in/jfgagne</t>
  </si>
  <si>
    <t>@jfgagne</t>
  </si>
  <si>
    <t>jf@elementai.com (legacy) / via personal network</t>
  </si>
  <si>
    <t>Co-founded Element AI with Bengio; Montreal-based serial AI entrepreneur. Perfect audience for a French-Canadian AI+auto domain.</t>
  </si>
  <si>
    <t>Raquel Urtasun</t>
  </si>
  <si>
    <t>Waabi (autonomous trucking)</t>
  </si>
  <si>
    <t>linkedin.com/in/raquel-urtasun</t>
  </si>
  <si>
    <t>@RaquelUrtasun</t>
  </si>
  <si>
    <t>raquel@waabi.ai</t>
  </si>
  <si>
    <t>Toronto/Quebec autonomous-driving pioneer; Waabi raised $1B for physical AI. LaVoiture.ai is the exact brand match for an AI-first vehicle company.</t>
  </si>
  <si>
    <t>Frederic Lalonde</t>
  </si>
  <si>
    <t>Hopper (Montréal travel/fintech)</t>
  </si>
  <si>
    <t>LaVoiture.ai (adjacent — travel/auto rentals)</t>
  </si>
  <si>
    <t>linkedin.com/in/fredlalonde</t>
  </si>
  <si>
    <t>@fredlalonde</t>
  </si>
  <si>
    <t>fred@hopper.com</t>
  </si>
  <si>
    <t>Montréal's most visible consumer-app CEO; Hopper's fintech products expanding into car-rental fintech — LaVoiture fits adjacency.</t>
  </si>
  <si>
    <t>Louis Têtu</t>
  </si>
  <si>
    <t>Executive Chairman (former CEO 2012-2025)</t>
  </si>
  <si>
    <t>Coveo (Québec City AI search)</t>
  </si>
  <si>
    <t>linkedin.com/in/louis-tetu</t>
  </si>
  <si>
    <t>@CoveoLouis</t>
  </si>
  <si>
    <t>louis.tetu@coveo.com</t>
  </si>
  <si>
    <t>Québec City-based AI-search legend (also chaired Taleo, sold to Oracle for $2B). Anchor buyer for any premium Quebec AI domain bundle.</t>
  </si>
  <si>
    <t>Alexandre Taillefer</t>
  </si>
  <si>
    <t>Founder &amp; Managing Partner XPND Capital (ex-Teo Taxi CEO)</t>
  </si>
  <si>
    <t>XPND Capital (Montréal PE/VC)</t>
  </si>
  <si>
    <t>linkedin.com/in/alexandretaillefer</t>
  </si>
  <si>
    <t>@ataillefer</t>
  </si>
  <si>
    <t>via XPND Capital Montréal</t>
  </si>
  <si>
    <t>Founded Teo Taxi (Quebec's electric-fleet EV cab); active French-Canadian tech investor. Perfect thesis fit for a French-language EV/auto/AI domain.</t>
  </si>
  <si>
    <t>Ibai Llanos (secondary — MuyGuay expansion)</t>
  </si>
  <si>
    <t>Co-Owner / Streamer (15M+ followers)</t>
  </si>
  <si>
    <t>KOI / personal brand</t>
  </si>
  <si>
    <t>MuyGuay.com (secondary)</t>
  </si>
  <si>
    <t>via KOI management: contact@koigg.gg</t>
  </si>
  <si>
    <t>15M+ followers across platforms; 'Muy Guay' is his signature phrase. Secondary bundle to primary P1 offer with heightened emphasis on personal brand licensing.</t>
  </si>
  <si>
    <t>Jorge Alberto Hank Inzunza</t>
  </si>
  <si>
    <t>Chairperson Club Tijuana Xolos (son of Jorge Hank Rhon)</t>
  </si>
  <si>
    <t>Grupo Caliente / Xolos de Tijuana</t>
  </si>
  <si>
    <t>(not verified on LinkedIn)</t>
  </si>
  <si>
    <t>via Xolos de Tijuana press office</t>
  </si>
  <si>
    <t>Next-gen family gatekeeper for Caliente domain purchases; may be more digitally reachable than his father Jorge Hank Rhon.</t>
  </si>
  <si>
    <t>Codere Online leadership (successor to Di Loreto)</t>
  </si>
  <si>
    <t>CEO Codere Online</t>
  </si>
  <si>
    <t>Codere Online</t>
  </si>
  <si>
    <t>(check codereonline.com investor page)</t>
  </si>
  <si>
    <t>ir@codereonline.com</t>
  </si>
  <si>
    <t>Codere Online spun off in 2021 as NASDAQ-listed pure-play LATAM iGaming; separate CEO from parent Codere. Spanish betting domains hit their exact segment.</t>
  </si>
  <si>
    <t>Shayne Coplan (secondary — LATAM push)</t>
  </si>
  <si>
    <t>Post-2024 election, Polymarket is aggressively expanding LATAM prediction markets — Spanish betting-intent domains are direct funnel.</t>
  </si>
  <si>
    <t>Jason Robins</t>
  </si>
  <si>
    <t>Co-Founder, CEO &amp; Chairman</t>
  </si>
  <si>
    <t>DraftKings</t>
  </si>
  <si>
    <t>apuesto/teapuesto family (US-Hispanic + LATAM)</t>
  </si>
  <si>
    <t>linkedin.com/in/jason--robins</t>
  </si>
  <si>
    <t>@JasonDRobins</t>
  </si>
  <si>
    <t>jrobins@draftkings.com</t>
  </si>
  <si>
    <t>DraftKings launched prediction markets 2026 and courting US Hispanic bettors; apuesto/teapuesto domains fit dual US-Hispanic + LATAM expansion.</t>
  </si>
  <si>
    <t>Ernie Garcia III (secondary — auto bundle)</t>
  </si>
  <si>
    <t>Auto/car domain bundle</t>
  </si>
  <si>
    <t>Secondary Carvana entry for a broader auto-domain bundle beyond primary P3 offer.</t>
  </si>
  <si>
    <t>Michael G. Rhodes</t>
  </si>
  <si>
    <t>CEO (since April 2024)</t>
  </si>
  <si>
    <t>Ally Financial</t>
  </si>
  <si>
    <t>Auto financing / loan domain</t>
  </si>
  <si>
    <t>(LinkedIn: search 'Michael Rhodes Ally CEO')</t>
  </si>
  <si>
    <t>media@ally.com | investor.relations@ally.com</t>
  </si>
  <si>
    <t>Ally is the largest US auto lender; ex-Discover CEO Rhodes is aggressively digital-first. Perfect fit for a category-defining auto/loan domain.</t>
  </si>
  <si>
    <t>Winston Weinberg</t>
  </si>
  <si>
    <t>Harvey AI (legal AI, $11B valuation)</t>
  </si>
  <si>
    <t>KnowLaw.ai / legal-AI domain</t>
  </si>
  <si>
    <t>linkedin.com/in/winston-weinberg</t>
  </si>
  <si>
    <t>@winstonweinberg</t>
  </si>
  <si>
    <t>winston@harvey.ai</t>
  </si>
  <si>
    <t>Harvey is the highest-profile legal-AI company; KnowLaw.ai fits their positioning as the legal-knowledge-AI platform for BigLaw.</t>
  </si>
  <si>
    <t>Rutvik Rau</t>
  </si>
  <si>
    <t>August (legal AI for mid-market firms, $7M raised)</t>
  </si>
  <si>
    <t>linkedin.com/in/rutvik-rau</t>
  </si>
  <si>
    <t>rutvik@augustlegal.ai</t>
  </si>
  <si>
    <t>August is Harvey's mid-market rival; KnowLaw.ai fits as they scale into knowledge-first legal AI platform.</t>
  </si>
  <si>
    <t>Cecilia Ziniti</t>
  </si>
  <si>
    <t>GC AI (general counsel AI)</t>
  </si>
  <si>
    <t>(LinkedIn: search 'Cecilia Ziniti GC AI')</t>
  </si>
  <si>
    <t>cecilia@gc.ai</t>
  </si>
  <si>
    <t>Ex-BigLaw partner building AI for in-house counsel; KnowLaw.ai matches her thesis of legal-knowledge-first AI.</t>
  </si>
  <si>
    <t>AJ Shankar</t>
  </si>
  <si>
    <t>Everlaw (legal e-discovery AI)</t>
  </si>
  <si>
    <t>(LinkedIn: search 'AJ Shankar Everlaw')</t>
  </si>
  <si>
    <t>press@everlaw.com</t>
  </si>
  <si>
    <t>Everlaw is a leading legal-tech / e-discovery platform with heavy AI investment. KnowLaw fits as they broaden beyond discovery.</t>
  </si>
  <si>
    <t>Alex Benlloch</t>
  </si>
  <si>
    <t>Co-Founder</t>
  </si>
  <si>
    <t>Nude Project (Spanish streetwear, $30M+ revenue)</t>
  </si>
  <si>
    <t>MuyGuay.com (fashion angle)</t>
  </si>
  <si>
    <t>linkedin.com/in/alexbenlloch</t>
  </si>
  <si>
    <t>@alexbenlloch (IG-primary)</t>
  </si>
  <si>
    <t>alex@nudeproject.com</t>
  </si>
  <si>
    <t>Nude Project is Spain's hottest streetwear brand ('by artists, for artists'); 'Muy Guay' matches their cultural voice for the Spanish-speaking Gen Z fashion audience.</t>
  </si>
  <si>
    <t>Bruno Casanovas</t>
  </si>
  <si>
    <t>Co-Founder &amp; Creative Director</t>
  </si>
  <si>
    <t>Nude Project</t>
  </si>
  <si>
    <t>(LinkedIn: search 'Bruno Casanovas Nude Project')</t>
  </si>
  <si>
    <t>(IG @brunocasanovas)</t>
  </si>
  <si>
    <t>bruno@nudeproject.com</t>
  </si>
  <si>
    <t>Co-founder alongside Benlloch; creative-side decision-maker for brand identity domains.</t>
  </si>
  <si>
    <t>Ignacio Bachiller Ströhlein</t>
  </si>
  <si>
    <t>Fever (Spanish/global events platform)</t>
  </si>
  <si>
    <t>MuyGuay.com (events/lifestyle angle)</t>
  </si>
  <si>
    <t>linkedin.com/in/ignacio-bachiller-strohlein</t>
  </si>
  <si>
    <t>ignacio@feverup.com</t>
  </si>
  <si>
    <t>Fever = Spain's biggest events/lifestyle app (Candlelight, La Casa de Papel exp.); MuyGuay is a natural voice-match for their Spanish Gen Z audience.</t>
  </si>
  <si>
    <t>Blueheart founder (small startup — founder unverified via public search)</t>
  </si>
  <si>
    <t>Blueheart (sexual wellness AI)</t>
  </si>
  <si>
    <t>TopSex.ai (health/AI angle)</t>
  </si>
  <si>
    <t>(direct outreach via app support)</t>
  </si>
  <si>
    <t>Secondary Blueheart entry emphasizing AI + sexual-wellness health angle. FLAGGED: founder identity not surfaced in public research; direct outreach required.</t>
  </si>
  <si>
    <t>Thomas Dohmke</t>
  </si>
  <si>
    <t>Former CEO GitHub (stepping down Aug 2025); founder EntireHQ</t>
  </si>
  <si>
    <t>GitHub (Microsoft) / EntireHQ</t>
  </si>
  <si>
    <t>oneguy.org (dev-solo angle)</t>
  </si>
  <si>
    <t>linkedin.com/in/ashtom</t>
  </si>
  <si>
    <t>@ashtom</t>
  </si>
  <si>
    <t>thomas.dohmke@github.com | thomas@dohmke.com</t>
  </si>
  <si>
    <t>GitHub CEO who championed the solo developer + Copilot era; oneguy.org matches his 'single developer as company' thesis at both GitHub and his new venture.</t>
  </si>
  <si>
    <t>Wade Foster</t>
  </si>
  <si>
    <t>Zapier</t>
  </si>
  <si>
    <t>linkedin.com/in/wadefoster</t>
  </si>
  <si>
    <t>@wadefoster</t>
  </si>
  <si>
    <t>wade@zapier.com</t>
  </si>
  <si>
    <t>Zapier's product literally lets one person automate what used to need a team; on-thesis buyer for oneguy.org.</t>
  </si>
  <si>
    <t>Rajiv Ayyangar</t>
  </si>
  <si>
    <t>CEO (Ryan Hoover founder)</t>
  </si>
  <si>
    <t>Product Hunt</t>
  </si>
  <si>
    <t>linkedin.com/in/rajiv-ayyangar</t>
  </si>
  <si>
    <t>@rajivayyangar</t>
  </si>
  <si>
    <t>rajiv@producthunt.com</t>
  </si>
  <si>
    <t>Product Hunt is where solo founders launch daily; oneguy.org is the community's ethos as a URL.</t>
  </si>
  <si>
    <t>Toran Bruce Richards</t>
  </si>
  <si>
    <t>AutoGPT / Significant Gravitas</t>
  </si>
  <si>
    <t>oneguy.org (autonomous-agent angle)</t>
  </si>
  <si>
    <t>linkedin.com/in/toran-richards</t>
  </si>
  <si>
    <t>@SigGravitas</t>
  </si>
  <si>
    <t>toran@agpt.co</t>
  </si>
  <si>
    <t>AutoGPT enabled the 'one person + AI agents = full team' movement; oneguy.org is the thesis.</t>
  </si>
  <si>
    <t>João Moura</t>
  </si>
  <si>
    <t>CrewAI (multi-agent framework)</t>
  </si>
  <si>
    <t>linkedin.com/in/joaomdmoura</t>
  </si>
  <si>
    <t>@joaomdmoura</t>
  </si>
  <si>
    <t>joao@crewai.com</t>
  </si>
  <si>
    <t>CrewAI orchestrates AI-agent teams for solo builders; direct thesis fit for oneguy.org.</t>
  </si>
  <si>
    <t>Anton Osika</t>
  </si>
  <si>
    <t>Lovable (fastest-growing Europe startup)</t>
  </si>
  <si>
    <t>linkedin.com/in/antonosika</t>
  </si>
  <si>
    <t>@antonosika</t>
  </si>
  <si>
    <t>anton@lovable.dev</t>
  </si>
  <si>
    <t>Lovable enables non-developers to ship SaaS solo; hit $17.5M ARR in 3 months. Perfect oneguy.org buyer.</t>
  </si>
  <si>
    <t>Immad Akhund</t>
  </si>
  <si>
    <t>Mercury (banking for startups)</t>
  </si>
  <si>
    <t>linkedin.com/in/iakhund</t>
  </si>
  <si>
    <t>@immad</t>
  </si>
  <si>
    <t>immad@mercury.com</t>
  </si>
  <si>
    <t>Mercury banks 200K+ solo/small-team startups; oneguy.org matches their customer base.</t>
  </si>
  <si>
    <t>Sahil Lavingia</t>
  </si>
  <si>
    <t>Founder (ex-CEO, replaced by AI agent 2025)</t>
  </si>
  <si>
    <t>Gumroad</t>
  </si>
  <si>
    <t>linkedin.com/in/sahillavingia</t>
  </si>
  <si>
    <t>@shl</t>
  </si>
  <si>
    <t>sahil@gumroad.com</t>
  </si>
  <si>
    <t>Author of 'The Minimalist Entrepreneur'; literally appointed an AI agent as Gumroad CEO. Living embodiment of oneguy.org.</t>
  </si>
  <si>
    <t>Pieter Levels (@levelsio)</t>
  </si>
  <si>
    <t>Solo founder ($3M+/yr)</t>
  </si>
  <si>
    <t>Nomad List / RemoteOK / PhotoAI</t>
  </si>
  <si>
    <t>(LinkedIn not primary — X is)</t>
  </si>
  <si>
    <t>@levelsio</t>
  </si>
  <si>
    <t>pieter@levels.io</t>
  </si>
  <si>
    <t>The OG indie hacker running multiple 7-figure businesses solo; oneguy.org IS his brand.</t>
  </si>
  <si>
    <t>Marc Lou (Louvion)</t>
  </si>
  <si>
    <t>Solopreneur ($94K+/month)</t>
  </si>
  <si>
    <t>ShipFast / multiple SaaS</t>
  </si>
  <si>
    <t>linkedin.com/in/marclouvion</t>
  </si>
  <si>
    <t>@marc_louvion</t>
  </si>
  <si>
    <t>marc@shipfa.st</t>
  </si>
  <si>
    <t>Solo-founder icon shipping SaaS boilerplates and starter kits; audience IS the oneguy.org buyer persona.</t>
  </si>
  <si>
    <t>Danny Postma</t>
  </si>
  <si>
    <t>Solo AI founder ($300K/month HeadshotPro)</t>
  </si>
  <si>
    <t>HeadshotPro / multiple AI SaaS</t>
  </si>
  <si>
    <t>(Postma primarily uses X; LinkedIn limited)</t>
  </si>
  <si>
    <t>@dannypostma</t>
  </si>
  <si>
    <t>danny@dannypostma.com</t>
  </si>
  <si>
    <t>Bootstrapped $300K/month AI photo empire solo from Bali; textbook oneguy.org customer.</t>
  </si>
  <si>
    <t>Tony Dinh</t>
  </si>
  <si>
    <t>Solo indie founder</t>
  </si>
  <si>
    <t>TypingMind / DevUtils / (sold BlackMagic)</t>
  </si>
  <si>
    <t>linkedin.com/in/dinhtony</t>
  </si>
  <si>
    <t>@tdinh_me</t>
  </si>
  <si>
    <t>tony@tonydinh.com</t>
  </si>
  <si>
    <t>Multi-product solo indie hacker; TypingMind (ChatGPT UI wrapper) generates 6-figures monthly. Prime oneguy.org buyer.</t>
  </si>
  <si>
    <t>Adam Robinson</t>
  </si>
  <si>
    <t>CEO (RB2B, Retention.com, MoltSets)</t>
  </si>
  <si>
    <t>Bootstrapped SaaS portfolio</t>
  </si>
  <si>
    <t>linkedin.com/in/retentionadam</t>
  </si>
  <si>
    <t>@retentionadam</t>
  </si>
  <si>
    <t>adam@rb2b.com</t>
  </si>
  <si>
    <t>Public solo-founder brand with 156K LinkedIn followers, $25M ARR bootstrapped; loves buying founder-branded assets.</t>
  </si>
  <si>
    <t>Nathan Barry</t>
  </si>
  <si>
    <t>Kit (fka ConvertKit)</t>
  </si>
  <si>
    <t>oneguy.org (creator angle)</t>
  </si>
  <si>
    <t>linkedin.com/in/nathanbarry</t>
  </si>
  <si>
    <t>@nathanbarry</t>
  </si>
  <si>
    <t>nathan@kit.com</t>
  </si>
  <si>
    <t>Kit is the 'operating system for creators' — solo creators are the oneguy.org constituency.</t>
  </si>
  <si>
    <t>Andrew Wilkinson</t>
  </si>
  <si>
    <t>Co-Founder Tiny; Founder MetaLab</t>
  </si>
  <si>
    <t>Tiny Capital / MetaLab / Dribbble / Letterboxd</t>
  </si>
  <si>
    <t>linkedin.com/in/awilkinson</t>
  </si>
  <si>
    <t>@awilkinson</t>
  </si>
  <si>
    <t>via Tiny Capital (Victoria, BC)</t>
  </si>
  <si>
    <t>Owns 38+ small internet businesses via Tiny; author of 'Never Enough'. Natural collector of premium indie-founder-thesis domains.</t>
  </si>
  <si>
    <t>Jason Lopatecki</t>
  </si>
  <si>
    <t>Arize AI (AI observability)</t>
  </si>
  <si>
    <t>NoFail.ai / NoBreak.ai bundle</t>
  </si>
  <si>
    <t>linkedin.com/in/jason-lopatecki</t>
  </si>
  <si>
    <t>@jason_lopatecki</t>
  </si>
  <si>
    <t>jason@arize.com</t>
  </si>
  <si>
    <t>Arize is the leading AI observability / eval platform; NoFail.ai fits their thesis of catching AI failures before production.</t>
  </si>
  <si>
    <t>George Kurtz</t>
  </si>
  <si>
    <t>Co-Founder, President &amp; CEO</t>
  </si>
  <si>
    <t>CrowdStrike</t>
  </si>
  <si>
    <t>NoFail.ai / NoBreak.ai (post-outage angle)</t>
  </si>
  <si>
    <t>linkedin.com/in/georgekurtz</t>
  </si>
  <si>
    <t>@George_Kurtz</t>
  </si>
  <si>
    <t>george.kurtz@crowdstrike.com</t>
  </si>
  <si>
    <t>Post-July-2024 global outage, CrowdStrike is highly motivated by reliability positioning; NoFail/NoBreak domains are direct brand-repair assets.</t>
  </si>
  <si>
    <t>Anand Eswaran</t>
  </si>
  <si>
    <t>Veeam Software</t>
  </si>
  <si>
    <t>NoFail.ai / NoBreak.ai (data resilience)</t>
  </si>
  <si>
    <t>linkedin.com/in/anandeswaran</t>
  </si>
  <si>
    <t>@anandeswaran</t>
  </si>
  <si>
    <t>anand.eswaran@veeam.com</t>
  </si>
  <si>
    <t>Veeam is the largest data protection / backup vendor; their entire pitch is 'never fail, never break' backup — the domains map 1:1.</t>
  </si>
  <si>
    <t>Bipul Sinha</t>
  </si>
  <si>
    <t>Co-Founder, Chairman &amp; CEO</t>
  </si>
  <si>
    <t>Rubrik (NYSE: RBRK)</t>
  </si>
  <si>
    <t>NoFail.ai / NoBreak.ai (cyber resilience)</t>
  </si>
  <si>
    <t>linkedin.com/in/bipulsinha</t>
  </si>
  <si>
    <t>@bipulsinha</t>
  </si>
  <si>
    <t>bipul.sinha@rubrik.com</t>
  </si>
  <si>
    <t>Rubrik positions as 'The Security and AI Operations Company' — cyber-resilience post-attack recovery. NoFail/NoBreak brand DNA match.</t>
  </si>
  <si>
    <t>Jay Chaudhry</t>
  </si>
  <si>
    <t>Founder, Chairman &amp; CEO</t>
  </si>
  <si>
    <t>Zscaler</t>
  </si>
  <si>
    <t>NoFail.ai (zero-trust reliability)</t>
  </si>
  <si>
    <t>linkedin.com/in/jaychaudhry</t>
  </si>
  <si>
    <t>@JayZscaler</t>
  </si>
  <si>
    <t>jchaudhry@zscaler.com</t>
  </si>
  <si>
    <t>Zscaler = $30B zero-trust cloud security leader; reliability is core value prop. NoFail.ai fits enterprise trust narrative.</t>
  </si>
  <si>
    <t>Ashan Willy</t>
  </si>
  <si>
    <t>New Relic (Francisco Partners)</t>
  </si>
  <si>
    <t>NoFail.ai / observability domain</t>
  </si>
  <si>
    <t>linkedin.com/in/ashanwilly</t>
  </si>
  <si>
    <t>@ashanwilly</t>
  </si>
  <si>
    <t>awilly@newrelic.com</t>
  </si>
  <si>
    <t>Named AI Breakthrough 'AI CEO of the Year' 2025; New Relic competes directly with Datadog for observability domains — NoFail.ai is a competitive-edge asset.</t>
  </si>
  <si>
    <t>Alexis Lê-Quôc</t>
  </si>
  <si>
    <t>Co-Founder &amp; CTO</t>
  </si>
  <si>
    <t>NoFail.ai (secondary — CTO decision-maker)</t>
  </si>
  <si>
    <t>(LinkedIn: search 'Alexis Le-Quoc Datadog')</t>
  </si>
  <si>
    <t>alexis@datadoghq.com</t>
  </si>
  <si>
    <t>Co-founder &amp; CTO alongside Pomel; often the technical/domain-strategy buyer within the founder pair. Secondary Datadog contact for NoFail.ai.</t>
  </si>
  <si>
    <t>Josh Haas</t>
  </si>
  <si>
    <t>Co-Founder &amp; Co-CEO</t>
  </si>
  <si>
    <t>oneguy.org / no-code build domain (secondary)</t>
  </si>
  <si>
    <t>(LinkedIn: search 'Josh Haas Bubble')</t>
  </si>
  <si>
    <t>josh@bubble.io</t>
  </si>
  <si>
    <t>Bubble's co-CEO (paired with Straschnov); Bubble users are literally 'one guy building software companies'. Secondary Bubble contact after Straschnov.</t>
  </si>
  <si>
    <t>Andrew Chen (a16z partner) / Chris Best follow-up</t>
  </si>
  <si>
    <t>a16z General Partner (Substack investor) / Chris Best CEO</t>
  </si>
  <si>
    <t>Andreessen Horowitz / Substack</t>
  </si>
  <si>
    <t>oneguy.org (creator/writer angle)</t>
  </si>
  <si>
    <t>linkedin.com/in/andrewchen</t>
  </si>
  <si>
    <t>@andrewchen</t>
  </si>
  <si>
    <t>andrew@a16z.com</t>
  </si>
  <si>
    <t>Chen led a16z's Substack investment and writes for solo creators; adjacent bundle buyer for oneguy.org / Substack secondary outreach.</t>
  </si>
  <si>
    <t>Infancia.ai / KIDDOS AI leadership (Sonia C. — founder KIDDOS AI as closest verified match)</t>
  </si>
  <si>
    <t>Infancia.ai / KIDDOS AI (kids-AI category)</t>
  </si>
  <si>
    <t>Infancia.ai</t>
  </si>
  <si>
    <t>linkedin.com/in/temimis (KIDDOS AI founder)</t>
  </si>
  <si>
    <t>via KIDDOS AI direct outreach</t>
  </si>
  <si>
    <t>FLAGGED: Infancia.ai as a company does not surface publicly; nearest verified equivalent is Sonia C. at KIDDOS AI (kids-safe educational AI). Adjacent buyers: Miko (Sneh Vaswani, row 25), Robert LoCascio (KID Company). Recommend outreach to all three.</t>
  </si>
  <si>
    <t>PA</t>
  </si>
  <si>
    <t>B4</t>
  </si>
  <si>
    <t>Luis Pastor</t>
  </si>
  <si>
    <t>Former President &amp; CEO (still Board / brand ambassador)</t>
  </si>
  <si>
    <t>Latino Community Credit Union (Durham, NC)</t>
  </si>
  <si>
    <t>hipotecahispana.com</t>
  </si>
  <si>
    <t>linkedin.com/in/luis-pastor</t>
  </si>
  <si>
    <t>via LCCU: gabe@latinoccu.org | +1 984-569-3507</t>
  </si>
  <si>
    <t>THE mission-fit buyer. 22+ years as CEO of LCCU serving 100K+ Latino members, $720M assets. Successor took over June 2023; Pastor still represents LCCU externally. Deepest cultural + institutional buyer for hipotecahispana.com.</t>
  </si>
  <si>
    <t>Jason Madiedo</t>
  </si>
  <si>
    <t>Panorama Mortgage Group (parent of Alterra Home Loans)</t>
  </si>
  <si>
    <t>linkedin.com/in/jason-madiedo</t>
  </si>
  <si>
    <t>jason@simplypmg.com | +1 702-588-5430</t>
  </si>
  <si>
    <t>Latino-founded lender explicitly building for underserved Hispanic borrowers; featured in Hispanic Executive. Alterra Home Loans is his flagship Hispanic-focused brand. Perfect thesis match.</t>
  </si>
  <si>
    <t>Ron Leonhardt Jr.</t>
  </si>
  <si>
    <t>CrossCountry Mortgage (#1 retail mortgage lender, $51B+ 2025)</t>
  </si>
  <si>
    <t>linkedin.com/in/ron-leonhardt</t>
  </si>
  <si>
    <t>@crosscountrymtg (company)</t>
  </si>
  <si>
    <t>rleonhardt@ccm.com (likely)</t>
  </si>
  <si>
    <t>America's #1 retail mortgage lender with heavy digital-acquisition budget; Hispanic homeowner segment is #1 growth vertical for major lenders. hipotecahispana.com fits organic-growth SEO strategy.</t>
  </si>
  <si>
    <t>Steve Jacobson</t>
  </si>
  <si>
    <t>Fairway Independent Mortgage Corp.</t>
  </si>
  <si>
    <t>linkedin.com/in/steve-jacobson</t>
  </si>
  <si>
    <t>sjacobson@fairwaymc.com (likely)</t>
  </si>
  <si>
    <t>Founded Fairway 1996; named 2024 Legend of Lending. Fairway is top-10 US mortgage lender with strong retail branch network — Spanish-language landing pages are on-thesis.</t>
  </si>
  <si>
    <t>Mark O'Donovan</t>
  </si>
  <si>
    <t>Ex-CEO Chase Home Lending (now CEO Chase International Consumer Bank)</t>
  </si>
  <si>
    <t>JPMorgan Chase</t>
  </si>
  <si>
    <t>linkedin.com/in/marktodo</t>
  </si>
  <si>
    <t>mark.odonovan@chase.com (likely)</t>
  </si>
  <si>
    <t>VERIFIED as the right contact at JPMorgan — was CEO Chase Home Lending, promoted to CEO International Consumer Bank. His successor at Home Lending would be current buyer; O'Donovan can refer/champion. Chase Home Lending has explicit Spanish-language mortgage products.</t>
  </si>
  <si>
    <t>Terry Schmidt</t>
  </si>
  <si>
    <t>Guild Mortgage</t>
  </si>
  <si>
    <t>linkedin.com/in/terry-schmidt</t>
  </si>
  <si>
    <t>tschmidt@guildmortgage.net (likely)</t>
  </si>
  <si>
    <t>Guild = major independent mortgage banker, publicly traded (NYSE: GHLD). Schmidt CEO since July 2023. Guild has explicit Hispanic-borrower initiatives; hipotecahispana.com fits.</t>
  </si>
  <si>
    <t>Mary McDuffie (retired) → current Navy Federal CEO</t>
  </si>
  <si>
    <t>Retired President &amp; CEO (successor: Dietrich Kuhlmann as of 2024)</t>
  </si>
  <si>
    <t>Navy Federal Credit Union (13M+ members)</t>
  </si>
  <si>
    <t>linkedin.com/in/mary-mcduffie</t>
  </si>
  <si>
    <t>via Navy Federal press: pr@navyfederal.org</t>
  </si>
  <si>
    <t>Navy Federal is the world's largest credit union, 13M+ members with high Latino veteran/military-family segment. NOTE: McDuffie retired 2024; current CEO is Dietrich Kuhlmann. Redirect outreach through current leadership.</t>
  </si>
  <si>
    <t>CEO (VERIFIED still in role as of 2026)</t>
  </si>
  <si>
    <t>Ally Financial / Ally Home</t>
  </si>
  <si>
    <t>linkedin.com/in/michael-g-rhodes</t>
  </si>
  <si>
    <t>via Ally: media@ally.com | investor.relations@ally.com</t>
  </si>
  <si>
    <t>VERIFIED still CEO Ally Financial as of 2026 (per Ally 2026 press releases, CBJ Most Admired CEO 2026 honoree, Ally Q1 2026 earnings). Ally Home is auto+home lending; Rhodes drives digital-first strategy — Spanish-language mortgage traffic is direct fit.</t>
  </si>
  <si>
    <t>PB</t>
  </si>
  <si>
    <t>Andrés Vega</t>
  </si>
  <si>
    <t>CEO (Properati, since 2017; parent OLX/Navent)</t>
  </si>
  <si>
    <t>Properati (LATAM real estate — Colombia/Ecuador/Peru/Argentina)</t>
  </si>
  <si>
    <t>(LinkedIn: search 'Andrés Vega Properati CEO')</t>
  </si>
  <si>
    <t>andres.vega@properati.com (likely) | via OLX Group press</t>
  </si>
  <si>
    <t>GAP FILL: Properati is the leading Spanish-language real estate portal in the Andean region (120+ employees, 4 countries). Vega appointed CEO 2017 per OLX Group. Properati users are exact hipotecahispana.com buyer persona — Spanish-speakers actively searching for property/financing.</t>
  </si>
  <si>
    <t>Vivanuncios leadership → Navent Group CEO (post-Adevinta sale)</t>
  </si>
  <si>
    <t>CEO Navent Group (owns Vivanuncios post-2023)</t>
  </si>
  <si>
    <t>Vivanuncios / Navent Group (Mexico real estate)</t>
  </si>
  <si>
    <t>(LinkedIn: search 'Navent CEO Argentina')</t>
  </si>
  <si>
    <t>via Navent Buenos Aires press office</t>
  </si>
  <si>
    <t>GAP FILL: Vivanuncios sold by Adevinta to Navent Group (Argentine LATAM real estate/jobs holdco) in 2023. Vivanuncios = Mexico's largest property marketplace (professional sellers/developers). Buyer is now Navent's CEO — Argentine holding, private, name not publicly listed.</t>
  </si>
  <si>
    <t>Brendan Clair (Chief Commercial Officer, Bankrate — home lending vertical lead)</t>
  </si>
  <si>
    <t>Chief Commercial Officer (mortgage/home lending vertical owner)</t>
  </si>
  <si>
    <t>Bankrate (Red Ventures)</t>
  </si>
  <si>
    <t>linkedin.com/in/brendan-clair</t>
  </si>
  <si>
    <t>brendan.clair@bankrate.com (likely) | via Red Ventures</t>
  </si>
  <si>
    <t>GAP FILL: Bankrate does not have a titled 'Mortgage GM'; commercial responsibility for home-lending vertical rolls up to Clair as CCO. Bankrate Español is a real product. Alternative: Will Flood (Senior Director, mortgage revenue) linkedin.com/in/will-flood-953433b2.</t>
  </si>
  <si>
    <t>Tom Radle (VP Platform Sales, Velocify @ ICE Mortgage Technology)</t>
  </si>
  <si>
    <t>VP Platform Sales (Velocify product line lead)</t>
  </si>
  <si>
    <t>Velocify / ICE Mortgage Technology</t>
  </si>
  <si>
    <t>linkedin.com/in/tom-radle</t>
  </si>
  <si>
    <t>tom.radle@ice.com (likely)</t>
  </si>
  <si>
    <t>GAP FILL: Velocify has no separate GM after ICE acquisition; sits inside ICE Mortgage Technology. Radle is the platform-sales lead covering Velocify. For strategic domain purchases, escalate to ICE Mortgage Technology President Tim Bowler.</t>
  </si>
  <si>
    <t>Joe Welu (Total Expert — Surefire CRM successor/competitor)</t>
  </si>
  <si>
    <t>Total Expert (replaces Surefire CRM for mortgage marketing automation)</t>
  </si>
  <si>
    <t>linkedin.com/in/joe-welu</t>
  </si>
  <si>
    <t>joe.welu@totalexpert.com (likely)</t>
  </si>
  <si>
    <t>GAP FILL: Surefire CRM (Top of Mind Networks) was acquired by Black Knight (now ICE Mortgage) — no standalone CEO post-acquisition. Total Expert is the direct competitor and largest independent mortgage CRM/marketing platform; Welu is the natural buyer for Spanish-mortgage-marketing domains.</t>
  </si>
  <si>
    <t>PC</t>
  </si>
  <si>
    <t>Gary Acosta</t>
  </si>
  <si>
    <t>NAHREP (National Association of Hispanic Real Estate Professionals)</t>
  </si>
  <si>
    <t>linkedin.com/in/gary-acosta</t>
  </si>
  <si>
    <t>gary@nahrep.org | +1 858-622-9046</t>
  </si>
  <si>
    <t>NAHREP is the largest Hispanic business organization in US (real estate professionals). Acosta is THE voice of Hispanic homeownership advocacy in the US — natural strategic buyer or influencer for hipotecahispana.com.</t>
  </si>
  <si>
    <t>Janet Murguía</t>
  </si>
  <si>
    <t>UnidosUS (formerly NCLR — largest US Latino civil rights nonprofit)</t>
  </si>
  <si>
    <t>hipotecahispana.com (nonprofit angle)</t>
  </si>
  <si>
    <t>linkedin.com/in/janetmurguia</t>
  </si>
  <si>
    <t>via UnidosUS DC office: contact@unidosus.org</t>
  </si>
  <si>
    <t>UnidosUS runs largest US Hispanic housing counseling network (NHNhousing); wholesale acquirer of Spanish-mortgage education resources. Nonprofit angle: potential low-price mission-aligned buyer or strategic pass-through.</t>
  </si>
  <si>
    <t>Hispanic Wealth Project leadership (NAHREP-affiliated)</t>
  </si>
  <si>
    <t>Executive Team (Gary Acosta as HWP co-founder)</t>
  </si>
  <si>
    <t>Hispanic Wealth Project (501c3)</t>
  </si>
  <si>
    <t>(LinkedIn: linkedin.com/company/hispanic-wealth-project)</t>
  </si>
  <si>
    <t>via HWP: info@hispanicwealthproject.org</t>
  </si>
  <si>
    <t>Nonprofit dedicated to Hispanic financial empowerment; established by NAHREP. Overlaps with Acosta (row 117); worth separate outreach for mission-domain donation/purchase angle.</t>
  </si>
  <si>
    <t>PD</t>
  </si>
  <si>
    <t>Sergio Leal Aguirre</t>
  </si>
  <si>
    <t>President &amp; Co-Founder</t>
  </si>
  <si>
    <t>Vinte Viviendas Integrales (largest Mexico homebuilder, BMV listed)</t>
  </si>
  <si>
    <t>hipotecahispana.com (Mexico angle)</t>
  </si>
  <si>
    <t>(LinkedIn: search 'Sergio Leal Aguirre Vinte')</t>
  </si>
  <si>
    <t>@SergioLealVinte</t>
  </si>
  <si>
    <t>sleal@vinte.com (likely)</t>
  </si>
  <si>
    <t>Vinte = Mexico's largest publicly traded homebuilder, 33 years, 7,500+ homes/yr. Cross-border angle: US-Mexico Hispanic buyers researching mortgage in Spanish. Fit is medium — Vinte builds homes, doesn't originate mortgages.</t>
  </si>
  <si>
    <t>Octavio Romero Oropeza</t>
  </si>
  <si>
    <t>Director General</t>
  </si>
  <si>
    <t>INFONAVIT (Mexico Federal Housing Fund — largest LATAM mortgage originator)</t>
  </si>
  <si>
    <t>hipotecahispana.com (Mexico gov angle)</t>
  </si>
  <si>
    <t>(LinkedIn: linkedin.com/company/infonavit)</t>
  </si>
  <si>
    <t>via Infonavit: +52 800 008 3900 | mexicobusiness contact</t>
  </si>
  <si>
    <t>INFONAVIT = Mexico's federal housing fund, world's largest single-country mortgage originator (5M+ active loans). Government agency; direct domain purchase unlikely but domain has strategic value if Infonavit expands to US-Hispanic diaspora.</t>
  </si>
  <si>
    <t>Benjamin Labra (secondary LATAM cross-border angle)</t>
  </si>
  <si>
    <t>Houm (Mexican/Chilean proptech rental+mortgage)</t>
  </si>
  <si>
    <t>hipotecahispana.com (LATAM proptech angle)</t>
  </si>
  <si>
    <t>linkedin.com/in/benjamin-labra</t>
  </si>
  <si>
    <t>benjamin@houm.com (likely)</t>
  </si>
  <si>
    <t>Houm is Y Combinator-backed LATAM proptech (Chile/Mexico); Spanish-first mortgage &amp; rental marketplace. Fit for cross-border Hispanic homebuyer domains; smaller ticket but high alignment.</t>
  </si>
  <si>
    <t>Legend — Batch 4 Priorities (hipotecahispana.com): PA = Verified high-value Latino/Hispanic mortgage decision-makers; PB = Unnamed roles now identified via research; PC = Nonprofit / advocacy channel (NAHREP, UnidosUS); PD = LATAM cross-border / secondary. Confidence: H = verified 2+ sources; M = 1 source or role transition; L = individual not publicly listed. 119 executives total across 4 batches. Recommend LinkedIn InMail as primary channel.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</si>
</sst>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scheme val="minor"/>
    </font>
    <font>
      <b/>
      <sz val="16"/>
      <color rgb="FFFFFFFF"/>
      <name val="Calibri"/>
    </font>
    <font>
      <i/>
      <sz val="9"/>
      <color rgb="FF595959"/>
      <name val="Calibri"/>
    </font>
    <font>
      <b/>
      <sz val="11"/>
      <color rgb="FFFFFFFF"/>
      <name val="Calibri"/>
    </font>
    <font>
      <b/>
      <i val="0"/>
      <sz val="10"/>
      <name val="Calibri"/>
    </font>
    <font>
      <b val="0"/>
      <i val="0"/>
      <sz val="10"/>
      <name val="Calibri"/>
    </font>
    <font>
      <b val="0"/>
      <i val="0"/>
      <u/>
      <sz val="10"/>
      <color theme="10"/>
      <name val="Calibri"/>
    </font>
    <font>
      <b/>
      <i val="0"/>
      <sz val="10"/>
      <color rgb="FF006100"/>
      <name val="Calibri"/>
    </font>
    <font>
      <b/>
      <i val="0"/>
      <sz val="10"/>
      <color rgb="FF9C5700"/>
      <name val="Calibri"/>
    </font>
    <font>
      <b/>
      <i val="0"/>
      <sz val="10"/>
      <color rgb="FF9C0006"/>
      <name val="Calibri"/>
    </font>
    <font>
      <b val="0"/>
      <i/>
      <sz val="9"/>
      <color rgb="FF595959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2E5597"/>
      </patternFill>
    </fill>
    <fill>
      <patternFill patternType="solid">
        <fgColor rgb="FFF8CBAD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CE4A6"/>
      </patternFill>
    </fill>
    <fill>
      <patternFill patternType="solid">
        <fgColor rgb="FFFFC7CE"/>
      </patternFill>
    </fill>
    <fill>
      <patternFill patternType="solid">
        <fgColor rgb="FFD9E7CB"/>
      </patternFill>
    </fill>
    <fill>
      <patternFill patternType="solid">
        <fgColor rgb="FFF4B183"/>
      </patternFill>
    </fill>
    <fill>
      <patternFill patternType="solid">
        <fgColor rgb="FFFFD966"/>
      </patternFill>
    </fill>
    <fill>
      <patternFill patternType="solid">
        <fgColor rgb="FFA9D18E"/>
      </patternFill>
    </fill>
    <fill>
      <patternFill patternType="solid">
        <fgColor rgb="FFB4C7E7"/>
      </patternFill>
    </fill>
  </fills>
  <borders count="4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1">
      <alignment horizontal="general" vertical="top"/>
    </xf>
  </cellStyleXfs>
  <cellXfs count="20">
    <xf numFmtId="0" fontId="0" fillId="0" borderId="1" xfId="0">
      <alignment vertical="top"/>
    </xf>
    <xf numFmtId="0" fontId="1" fillId="2" borderId="0" xfId="0">
      <alignment horizontal="center" vertical="center"/>
    </xf>
    <xf numFmtId="0" fontId="2" fillId="3" borderId="0" xfId="0">
      <alignment horizontal="center" vertical="center"/>
    </xf>
    <xf numFmtId="0" fontId="3" fillId="4" borderId="2" xfId="0">
      <alignment horizontal="center" vertical="center"/>
    </xf>
    <xf numFmtId="0" fontId="4" fillId="0" borderId="3" xfId="0">
      <alignment horizontal="center" vertical="center"/>
    </xf>
    <xf numFmtId="0" fontId="4" fillId="5" borderId="3" xfId="0">
      <alignment horizontal="center" vertical="center"/>
    </xf>
    <xf numFmtId="0" fontId="5" fillId="0" borderId="3" xfId="0">
      <alignment vertical="center"/>
    </xf>
    <xf numFmtId="0" fontId="4" fillId="0" borderId="3" xfId="0">
      <alignment vertical="center"/>
    </xf>
    <xf numFmtId="0" fontId="6" fillId="0" borderId="3" xfId="0">
      <alignment vertical="center"/>
    </xf>
    <xf numFmtId="0" fontId="7" fillId="6" borderId="3" xfId="0">
      <alignment horizontal="center" vertical="center"/>
    </xf>
    <xf numFmtId="0" fontId="8" fillId="7" borderId="3" xfId="0">
      <alignment horizontal="center" vertical="center"/>
    </xf>
    <xf numFmtId="0" fontId="4" fillId="8" borderId="3" xfId="0">
      <alignment horizontal="center" vertical="center"/>
    </xf>
    <xf numFmtId="0" fontId="9" fillId="9" borderId="3" xfId="0">
      <alignment horizontal="center" vertical="center"/>
    </xf>
    <xf numFmtId="0" fontId="4" fillId="10" borderId="3" xfId="0">
      <alignment horizontal="center" vertical="center"/>
    </xf>
    <xf numFmtId="0" fontId="5" fillId="0" borderId="3" xfId="0">
      <alignment horizontal="center" vertical="center"/>
    </xf>
    <xf numFmtId="0" fontId="4" fillId="11" borderId="3" xfId="0">
      <alignment horizontal="center" vertical="center"/>
    </xf>
    <xf numFmtId="0" fontId="4" fillId="12" borderId="3" xfId="0">
      <alignment horizontal="center" vertical="center"/>
    </xf>
    <xf numFmtId="0" fontId="4" fillId="13" borderId="3" xfId="0">
      <alignment horizontal="center" vertical="center"/>
    </xf>
    <xf numFmtId="0" fontId="4" fillId="14" borderId="3" xfId="0">
      <alignment horizontal="center" vertical="center"/>
    </xf>
    <xf numFmtId="0" fontId="10" fillId="3" borderId="0" xfId="0">
      <alignment horizontal="left" vertical="center"/>
    </xf>
  </cellXfs>
  <cellStyles count="1">
    <cellStyle name="Normal" xfId="0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arget="https://www.linkedin.com/in/zachariah-reitano-457b0a37" Type="http://schemas.openxmlformats.org/officeDocument/2006/relationships/hyperlink" TargetMode="External"/><Relationship Id="rId2" Target="https://www.linkedin.com/in/andrewdudum" Type="http://schemas.openxmlformats.org/officeDocument/2006/relationships/hyperlink" TargetMode="External"/><Relationship Id="rId3" Target="https://www.linkedin.com/in/feras-antoon-1b9a83126" Type="http://schemas.openxmlformats.org/officeDocument/2006/relationships/hyperlink" TargetMode="External"/><Relationship Id="rId4" Target="https://www.linkedin.com/in/samiinkinen" Type="http://schemas.openxmlformats.org/officeDocument/2006/relationships/hyperlink" TargetMode="External"/><Relationship Id="rId5" Target="https://fr.linkedin.com/in/federicoast" Type="http://schemas.openxmlformats.org/officeDocument/2006/relationships/hyperlink" TargetMode="External"/><Relationship Id="rId6" Target="https://www.linkedin.com/in/olivierpomel" Type="http://schemas.openxmlformats.org/officeDocument/2006/relationships/hyperlink" TargetMode="External"/><Relationship Id="rId7" Target="https://www.linkedin.com/in/zachariah-reitano-457b0a37" Type="http://schemas.openxmlformats.org/officeDocument/2006/relationships/hyperlink" TargetMode="External"/><Relationship Id="rId8" Target="https://www.linkedin.com/in/alex-blania-b8444aa0" Type="http://schemas.openxmlformats.org/officeDocument/2006/relationships/hyperlink" TargetMode="External"/><Relationship Id="rId9" Target="https://www.linkedin.com/in/mayakrampf" Type="http://schemas.openxmlformats.org/officeDocument/2006/relationships/hyperlink" TargetMode="External"/><Relationship Id="rId10" Target="https://www.linkedin.com/in/kharraz" Type="http://schemas.openxmlformats.org/officeDocument/2006/relationships/hyperlink" TargetMode="External"/><Relationship Id="rId11" Target="https://www.linkedin.com/in/varun-krishna-30019a22" Type="http://schemas.openxmlformats.org/officeDocument/2006/relationships/hyperlink" TargetMode="External"/><Relationship Id="rId12" Target="https://co.linkedin.com/in/juan-sebasti%C3%A1n-uribe-roa" Type="http://schemas.openxmlformats.org/officeDocument/2006/relationships/hyperlink" TargetMode="External"/><Relationship Id="rId13" Target="https://www.linkedin.com/in/anthony-gustin" Type="http://schemas.openxmlformats.org/officeDocument/2006/relationships/hyperlink" TargetMode="External"/><Relationship Id="rId14" Target="https://www.linkedin.com/in/florentcrivello" Type="http://schemas.openxmlformats.org/officeDocument/2006/relationships/hyperlink" TargetMode="External"/><Relationship Id="rId15" Target="https://es.linkedin.com/in/oscargarciamaceiras" Type="http://schemas.openxmlformats.org/officeDocument/2006/relationships/hyperlink" TargetMode="External"/><Relationship Id="rId16" Target="https://in.linkedin.com/in/sneh-vaswani-29b03318" Type="http://schemas.openxmlformats.org/officeDocument/2006/relationships/hyperlink" TargetMode="External"/><Relationship Id="rId17" Target="https://www.linkedin.com/in/carlos-brito1" Type="http://schemas.openxmlformats.org/officeDocument/2006/relationships/hyperlink" TargetMode="External"/><Relationship Id="rId18" Target="https://www.linkedin.com/in/tiagosada" Type="http://schemas.openxmlformats.org/officeDocument/2006/relationships/hyperlink" TargetMode="External"/><Relationship Id="rId19" Target="https://ca.linkedin.com/in/marc-b%C3%A9dard-42a18622" Type="http://schemas.openxmlformats.org/officeDocument/2006/relationships/hyperlink" TargetMode="External"/><Relationship Id="rId20" Target="https://www.linkedin.com/in/courtlandallen" Type="http://schemas.openxmlformats.org/officeDocument/2006/relationships/hyperlink" TargetMode="External"/><Relationship Id="rId21" Target="https://www.linkedin.com/in/patrickcollison" Type="http://schemas.openxmlformats.org/officeDocument/2006/relationships/hyperlink" TargetMode="External"/><Relationship Id="rId22" Target="https://www.linkedin.com/in/garrytan" Type="http://schemas.openxmlformats.org/officeDocument/2006/relationships/hyperlink" TargetMode="External"/><Relationship Id="rId23" Target="https://www.linkedin.com/in/amjadmasad" Type="http://schemas.openxmlformats.org/officeDocument/2006/relationships/hyperlink" TargetMode="External"/><Relationship Id="rId24" Target="https://ar.linkedin.com/in/vicente-di-loreto-4136aa27" Type="http://schemas.openxmlformats.org/officeDocument/2006/relationships/hyperlink" TargetMode="External"/><Relationship Id="rId25" Target="https://www.linkedin.com/in/shaynecoplan" Type="http://schemas.openxmlformats.org/officeDocument/2006/relationships/hyperlink" TargetMode="External"/><Relationship Id="rId26" Target="https://br.linkedin.com/in/lincoln-ando-96989166" Type="http://schemas.openxmlformats.org/officeDocument/2006/relationships/hyperlink" TargetMode="External"/><Relationship Id="rId27" Target="https://es.linkedin.com/in/mariusz-gralewski-054a5976" Type="http://schemas.openxmlformats.org/officeDocument/2006/relationships/hyperlink" TargetMode="External"/><Relationship Id="rId28" Target="https://www.linkedin.com/in/anthony-hsieh-a3329a45" Type="http://schemas.openxmlformats.org/officeDocument/2006/relationships/hyperlink" TargetMode="External"/><Relationship Id="rId29" Target="https://www.linkedin.com/in/douglebda" Type="http://schemas.openxmlformats.org/officeDocument/2006/relationships/hyperlink" TargetMode="External"/><Relationship Id="rId30" Target="https://www.linkedin.com/in/anthonynoto" Type="http://schemas.openxmlformats.org/officeDocument/2006/relationships/hyperlink" TargetMode="External"/><Relationship Id="rId31" Target="https://www.linkedin.com/in/straschnov" Type="http://schemas.openxmlformats.org/officeDocument/2006/relationships/hyperlink" TargetMode="External"/><Relationship Id="rId32" Target="https://www.linkedin.com/in/cjgbest" Type="http://schemas.openxmlformats.org/officeDocument/2006/relationships/hyperlink" TargetMode="External"/><Relationship Id="rId33" Target="https://www.linkedin.com/in/ernie-garcia-8122a421" Type="http://schemas.openxmlformats.org/officeDocument/2006/relationships/hyperlink" TargetMode="External"/><Relationship Id="rId34" Target="https://www.linkedin.com/in/justinschreiber" Type="http://schemas.openxmlformats.org/officeDocument/2006/relationships/hyperlink" TargetMode="External"/><Relationship Id="rId35" Target="https://mx.linkedin.com/in/jeanjereissati" Type="http://schemas.openxmlformats.org/officeDocument/2006/relationships/hyperlink" TargetMode="External"/><Relationship Id="rId36" Target="https://www.linkedin.com/in/marc-busain-00802419" Type="http://schemas.openxmlformats.org/officeDocument/2006/relationships/hyperlink" TargetMode="External"/><Relationship Id="rId37" Target="https://mx.linkedin.com/in/juan-pablo-de-velasco-garc&#237;a-452a57b" Type="http://schemas.openxmlformats.org/officeDocument/2006/relationships/hyperlink" TargetMode="External"/><Relationship Id="rId38" Target="https://ca.linkedin.com/in/yoshuabengio" Type="http://schemas.openxmlformats.org/officeDocument/2006/relationships/hyperlink" TargetMode="External"/><Relationship Id="rId39" Target="https://ca.linkedin.com/in/valeriepisano" Type="http://schemas.openxmlformats.org/officeDocument/2006/relationships/hyperlink" TargetMode="External"/><Relationship Id="rId40" Target="https://ca.linkedin.com/in/jfgagne" Type="http://schemas.openxmlformats.org/officeDocument/2006/relationships/hyperlink" TargetMode="External"/><Relationship Id="rId41" Target="https://ca.linkedin.com/in/raquel-urtasun-298400139" Type="http://schemas.openxmlformats.org/officeDocument/2006/relationships/hyperlink" TargetMode="External"/><Relationship Id="rId42" Target="https://ca.linkedin.com/in/fredlalonde" Type="http://schemas.openxmlformats.org/officeDocument/2006/relationships/hyperlink" TargetMode="External"/><Relationship Id="rId43" Target="https://ca.linkedin.com/in/louis-tetu-29a1167" Type="http://schemas.openxmlformats.org/officeDocument/2006/relationships/hyperlink" TargetMode="External"/><Relationship Id="rId44" Target="https://ca.linkedin.com/in/alexandretaillefer" Type="http://schemas.openxmlformats.org/officeDocument/2006/relationships/hyperlink" TargetMode="External"/><Relationship Id="rId45" Target="https://www.linkedin.com/in/shaynecoplan" Type="http://schemas.openxmlformats.org/officeDocument/2006/relationships/hyperlink" TargetMode="External"/><Relationship Id="rId46" Target="https://www.linkedin.com/in/jason--robins" Type="http://schemas.openxmlformats.org/officeDocument/2006/relationships/hyperlink" TargetMode="External"/><Relationship Id="rId47" Target="https://www.linkedin.com/in/ernie-garcia-8122a421" Type="http://schemas.openxmlformats.org/officeDocument/2006/relationships/hyperlink" TargetMode="External"/><Relationship Id="rId48" Target="https://www.linkedin.com/in/winston-weinberg" Type="http://schemas.openxmlformats.org/officeDocument/2006/relationships/hyperlink" TargetMode="External"/><Relationship Id="rId49" Target="https://www.linkedin.com/in/rutvik-rau" Type="http://schemas.openxmlformats.org/officeDocument/2006/relationships/hyperlink" TargetMode="External"/><Relationship Id="rId50" Target="https://es.linkedin.com/in/alexbenlloch" Type="http://schemas.openxmlformats.org/officeDocument/2006/relationships/hyperlink" TargetMode="External"/><Relationship Id="rId51" Target="https://uk.linkedin.com/in/ignacio-bachiller-str&#246;hlein-b1024148" Type="http://schemas.openxmlformats.org/officeDocument/2006/relationships/hyperlink" TargetMode="External"/><Relationship Id="rId52" Target="https://www.linkedin.com/in/ashtom" Type="http://schemas.openxmlformats.org/officeDocument/2006/relationships/hyperlink" TargetMode="External"/><Relationship Id="rId53" Target="https://www.linkedin.com/in/wadefoster" Type="http://schemas.openxmlformats.org/officeDocument/2006/relationships/hyperlink" TargetMode="External"/><Relationship Id="rId54" Target="https://www.linkedin.com/in/rajiv-ayyangar" Type="http://schemas.openxmlformats.org/officeDocument/2006/relationships/hyperlink" TargetMode="External"/><Relationship Id="rId55" Target="https://uk.linkedin.com/in/toran-richards" Type="http://schemas.openxmlformats.org/officeDocument/2006/relationships/hyperlink" TargetMode="External"/><Relationship Id="rId56" Target="https://www.linkedin.com/in/joaomdmoura" Type="http://schemas.openxmlformats.org/officeDocument/2006/relationships/hyperlink" TargetMode="External"/><Relationship Id="rId57" Target="https://se.linkedin.com/in/antonosika" Type="http://schemas.openxmlformats.org/officeDocument/2006/relationships/hyperlink" TargetMode="External"/><Relationship Id="rId58" Target="https://www.linkedin.com/in/iakhund" Type="http://schemas.openxmlformats.org/officeDocument/2006/relationships/hyperlink" TargetMode="External"/><Relationship Id="rId59" Target="https://www.linkedin.com/in/sahillavingia" Type="http://schemas.openxmlformats.org/officeDocument/2006/relationships/hyperlink" TargetMode="External"/><Relationship Id="rId60" Target="https://www.linkedin.com/in/marclouvion" Type="http://schemas.openxmlformats.org/officeDocument/2006/relationships/hyperlink" TargetMode="External"/><Relationship Id="rId61" Target="https://www.linkedin.com/in/dinhtony" Type="http://schemas.openxmlformats.org/officeDocument/2006/relationships/hyperlink" TargetMode="External"/><Relationship Id="rId62" Target="https://www.linkedin.com/in/retentionadam" Type="http://schemas.openxmlformats.org/officeDocument/2006/relationships/hyperlink" TargetMode="External"/><Relationship Id="rId63" Target="https://www.linkedin.com/in/nathanbarry" Type="http://schemas.openxmlformats.org/officeDocument/2006/relationships/hyperlink" TargetMode="External"/><Relationship Id="rId64" Target="https://ca.linkedin.com/in/awilkinson" Type="http://schemas.openxmlformats.org/officeDocument/2006/relationships/hyperlink" TargetMode="External"/><Relationship Id="rId65" Target="https://www.linkedin.com/in/jason-lopatecki-9509941" Type="http://schemas.openxmlformats.org/officeDocument/2006/relationships/hyperlink" TargetMode="External"/><Relationship Id="rId66" Target="https://www.linkedin.com/in/georgekurtz" Type="http://schemas.openxmlformats.org/officeDocument/2006/relationships/hyperlink" TargetMode="External"/><Relationship Id="rId67" Target="https://www.linkedin.com/in/anandeswaran" Type="http://schemas.openxmlformats.org/officeDocument/2006/relationships/hyperlink" TargetMode="External"/><Relationship Id="rId68" Target="https://www.linkedin.com/in/bipulsinha" Type="http://schemas.openxmlformats.org/officeDocument/2006/relationships/hyperlink" TargetMode="External"/><Relationship Id="rId69" Target="https://www.linkedin.com/in/jaychaudhry" Type="http://schemas.openxmlformats.org/officeDocument/2006/relationships/hyperlink" TargetMode="External"/><Relationship Id="rId70" Target="https://www.linkedin.com/in/ashanwilly" Type="http://schemas.openxmlformats.org/officeDocument/2006/relationships/hyperlink" TargetMode="External"/><Relationship Id="rId71" Target="https://www.linkedin.com/in/andrewchen" Type="http://schemas.openxmlformats.org/officeDocument/2006/relationships/hyperlink" TargetMode="External"/><Relationship Id="rId72" Target="https://www.linkedin.com/in/temimis" Type="http://schemas.openxmlformats.org/officeDocument/2006/relationships/hyperlink" TargetMode="External"/><Relationship Id="rId73" Target="https://www.linkedin.com/in/luis-pastor-04a8286" Type="http://schemas.openxmlformats.org/officeDocument/2006/relationships/hyperlink" TargetMode="External"/><Relationship Id="rId74" Target="https://www.linkedin.com/in/jason-madiedo-19463418" Type="http://schemas.openxmlformats.org/officeDocument/2006/relationships/hyperlink" TargetMode="External"/><Relationship Id="rId75" Target="https://www.linkedin.com/in/ron-leonhardt" Type="http://schemas.openxmlformats.org/officeDocument/2006/relationships/hyperlink" TargetMode="External"/><Relationship Id="rId76" Target="https://www.linkedin.com/in/steve-jacobson-9529ba" Type="http://schemas.openxmlformats.org/officeDocument/2006/relationships/hyperlink" TargetMode="External"/><Relationship Id="rId77" Target="https://www.linkedin.com/in/marktodo" Type="http://schemas.openxmlformats.org/officeDocument/2006/relationships/hyperlink" TargetMode="External"/><Relationship Id="rId78" Target="https://www.linkedin.com/in/terry-schmidt20" Type="http://schemas.openxmlformats.org/officeDocument/2006/relationships/hyperlink" TargetMode="External"/><Relationship Id="rId79" Target="https://www.linkedin.com/in/mary-mcduffie" Type="http://schemas.openxmlformats.org/officeDocument/2006/relationships/hyperlink" TargetMode="External"/><Relationship Id="rId80" Target="https://www.linkedin.com/in/michael-g-rhodes" Type="http://schemas.openxmlformats.org/officeDocument/2006/relationships/hyperlink" TargetMode="External"/><Relationship Id="rId81" Target="https://www.linkedin.com/in/brendan-clair-72b92217" Type="http://schemas.openxmlformats.org/officeDocument/2006/relationships/hyperlink" TargetMode="External"/><Relationship Id="rId82" Target="https://www.linkedin.com/in/tom-radle-9568947" Type="http://schemas.openxmlformats.org/officeDocument/2006/relationships/hyperlink" TargetMode="External"/><Relationship Id="rId83" Target="https://www.linkedin.com/in/joe-welu-4056726" Type="http://schemas.openxmlformats.org/officeDocument/2006/relationships/hyperlink" TargetMode="External"/><Relationship Id="rId84" Target="https://www.linkedin.com/in/gary-acosta" Type="http://schemas.openxmlformats.org/officeDocument/2006/relationships/hyperlink" TargetMode="External"/><Relationship Id="rId85" Target="https://www.linkedin.com/in/janetmurguia" Type="http://schemas.openxmlformats.org/officeDocument/2006/relationships/hyperlink" TargetMode="External"/><Relationship Id="rId86" Target="https://www.linkedin.com/in/benjamin-labra" Type="http://schemas.openxmlformats.org/officeDocument/2006/relationships/hyper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B15EDF8-4FF8-C70D-F7D8-E939A4D1E578}" mc:Ignorable="x14ac xr xr2 xr3">
  <dimension ref="A1:GR1000"/>
  <sheetViews>
    <sheetView topLeftCell="A1" workbookViewId="0" tabSelected="1">
      <pane ySplit="3" topLeftCell="A20" activePane="bottomLeft" state="frozen"/>
      <selection pane="bottomLeft" activeCell="A124" sqref="A124:M124"/>
    </sheetView>
  </sheetViews>
  <sheetFormatPr defaultRowHeight="15" defaultColWidth="8.8515625" customHeight="1"/>
  <cols>
    <col min="1" max="1" width="3.421875" customWidth="1"/>
    <col min="2" max="2" width="7.00390625" customWidth="1"/>
    <col min="3" max="3" width="5.421875" customWidth="1"/>
    <col min="4" max="4" width="72.57421875" customWidth="1"/>
    <col min="5" max="5" width="61.57421875" customWidth="1"/>
    <col min="6" max="6" width="29.28125" customWidth="1"/>
    <col min="7" max="7" width="38.140625" customWidth="1"/>
    <col min="8" max="8" width="4.8515625" customWidth="1"/>
    <col min="9" max="9" width="44.57421875" customWidth="1"/>
    <col min="10" max="10" width="17.28125" customWidth="1"/>
    <col min="11" max="11" width="36.00390625" customWidth="1"/>
    <col min="12" max="12" width="5.00390625" customWidth="1"/>
    <col min="13" max="13" width="245.57421875" customWidth="1"/>
  </cols>
  <sheetData>
    <row r="1" ht="24" customHeight="1">
      <c r="A1" s="1" t="s">
        <v>0</v>
      </c>
    </row>
    <row r="2" ht="16.5" customHeight="1">
      <c r="A2" s="2" t="s">
        <v>1</v>
      </c>
    </row>
    <row r="3" ht="30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ht="36" customHeight="1">
      <c r="A4" s="4">
        <v>1</v>
      </c>
      <c r="B4" s="5" t="s">
        <v>15</v>
      </c>
      <c r="C4" s="6" t="s">
        <v>16</v>
      </c>
      <c r="D4" s="7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8" t="str">
        <f t="shared" si="0" ref="I4:I10">HYPERLINK("https://www.linkedin.com/in/zachariah-reitano-457b0a37","linkedin.com/in/zachariah-reitano")</f>
        <v>linkedin.com/in/zachariah-reitano</v>
      </c>
      <c r="J4" s="6" t="s">
        <v>23</v>
      </c>
      <c r="K4" s="6" t="s">
        <v>24</v>
      </c>
      <c r="L4" s="9" t="s">
        <v>25</v>
      </c>
      <c r="M4" s="6" t="s">
        <v>26</v>
      </c>
    </row>
    <row r="5" ht="36" customHeight="1">
      <c r="A5" s="4">
        <v>2</v>
      </c>
      <c r="B5" s="5" t="s">
        <v>15</v>
      </c>
      <c r="C5" s="6" t="s">
        <v>16</v>
      </c>
      <c r="D5" s="7" t="s">
        <v>27</v>
      </c>
      <c r="E5" s="6" t="s">
        <v>28</v>
      </c>
      <c r="F5" s="6" t="s">
        <v>29</v>
      </c>
      <c r="G5" s="6" t="s">
        <v>30</v>
      </c>
      <c r="H5" s="6" t="s">
        <v>31</v>
      </c>
      <c r="I5" s="8" t="str">
        <f>HYPERLINK("https://www.linkedin.com/in/andrewdudum","linkedin.com/in/andrewdudum")</f>
        <v>linkedin.com/in/andrewdudum</v>
      </c>
      <c r="J5" s="6" t="s">
        <v>33</v>
      </c>
      <c r="K5" s="6" t="s">
        <v>34</v>
      </c>
      <c r="L5" s="9" t="s">
        <v>25</v>
      </c>
      <c r="M5" s="6" t="s">
        <v>35</v>
      </c>
    </row>
    <row r="6" ht="36" customHeight="1">
      <c r="A6" s="4">
        <v>3</v>
      </c>
      <c r="B6" s="5" t="s">
        <v>15</v>
      </c>
      <c r="C6" s="6" t="s">
        <v>16</v>
      </c>
      <c r="D6" s="7" t="s">
        <v>36</v>
      </c>
      <c r="E6" s="6" t="s">
        <v>37</v>
      </c>
      <c r="F6" s="6" t="s">
        <v>38</v>
      </c>
      <c r="G6" s="6" t="s">
        <v>39</v>
      </c>
      <c r="H6" s="6" t="s">
        <v>40</v>
      </c>
      <c r="I6" s="8" t="str">
        <f>HYPERLINK("https://www.linkedin.com/in/feras-antoon-1b9a83126","linkedin.com/in/feras-antoon")</f>
        <v>linkedin.com/in/feras-antoon</v>
      </c>
      <c r="J6" s="6" t="s">
        <v>42</v>
      </c>
      <c r="K6" s="6" t="s">
        <v>43</v>
      </c>
      <c r="L6" s="10" t="s">
        <v>44</v>
      </c>
      <c r="M6" s="6" t="s">
        <v>45</v>
      </c>
    </row>
    <row r="7" ht="36" customHeight="1">
      <c r="A7" s="4">
        <v>4</v>
      </c>
      <c r="B7" s="5" t="s">
        <v>15</v>
      </c>
      <c r="C7" s="6" t="s">
        <v>16</v>
      </c>
      <c r="D7" s="7" t="s">
        <v>46</v>
      </c>
      <c r="E7" s="6" t="s">
        <v>18</v>
      </c>
      <c r="F7" s="6" t="s">
        <v>47</v>
      </c>
      <c r="G7" s="6" t="s">
        <v>48</v>
      </c>
      <c r="H7" s="6" t="s">
        <v>49</v>
      </c>
      <c r="I7" s="8" t="str">
        <f>HYPERLINK("https://www.linkedin.com/in/samiinkinen","linkedin.com/in/samiinkinen")</f>
        <v>linkedin.com/in/samiinkinen</v>
      </c>
      <c r="J7" s="6" t="s">
        <v>51</v>
      </c>
      <c r="K7" s="6" t="s">
        <v>52</v>
      </c>
      <c r="L7" s="9" t="s">
        <v>25</v>
      </c>
      <c r="M7" s="6" t="s">
        <v>53</v>
      </c>
    </row>
    <row r="8" ht="36" customHeight="1">
      <c r="A8" s="4">
        <v>5</v>
      </c>
      <c r="B8" s="5" t="s">
        <v>15</v>
      </c>
      <c r="C8" s="6" t="s">
        <v>16</v>
      </c>
      <c r="D8" s="7" t="s">
        <v>54</v>
      </c>
      <c r="E8" s="6" t="s">
        <v>28</v>
      </c>
      <c r="F8" s="6" t="s">
        <v>55</v>
      </c>
      <c r="G8" s="6" t="s">
        <v>56</v>
      </c>
      <c r="H8" s="6" t="s">
        <v>57</v>
      </c>
      <c r="I8" s="8" t="str">
        <f>HYPERLINK("https://fr.linkedin.com/in/federicoast","linkedin.com/in/federicoast")</f>
        <v>linkedin.com/in/federicoast</v>
      </c>
      <c r="J8" s="6" t="s">
        <v>59</v>
      </c>
      <c r="K8" s="6" t="s">
        <v>60</v>
      </c>
      <c r="L8" s="9" t="s">
        <v>25</v>
      </c>
      <c r="M8" s="6" t="s">
        <v>61</v>
      </c>
    </row>
    <row r="9" ht="36" customHeight="1">
      <c r="A9" s="4">
        <v>6</v>
      </c>
      <c r="B9" s="5" t="s">
        <v>15</v>
      </c>
      <c r="C9" s="6" t="s">
        <v>16</v>
      </c>
      <c r="D9" s="7" t="s">
        <v>62</v>
      </c>
      <c r="E9" s="6" t="s">
        <v>18</v>
      </c>
      <c r="F9" s="6" t="s">
        <v>63</v>
      </c>
      <c r="G9" s="6" t="s">
        <v>64</v>
      </c>
      <c r="H9" s="6" t="s">
        <v>57</v>
      </c>
      <c r="I9" s="8" t="str">
        <f>HYPERLINK("https://www.linkedin.com/in/olivierpomel","linkedin.com/in/olivierpomel")</f>
        <v>linkedin.com/in/olivierpomel</v>
      </c>
      <c r="J9" s="6" t="s">
        <v>66</v>
      </c>
      <c r="K9" s="6" t="s">
        <v>67</v>
      </c>
      <c r="L9" s="9" t="s">
        <v>25</v>
      </c>
      <c r="M9" s="6" t="s">
        <v>68</v>
      </c>
    </row>
    <row r="10" ht="36" customHeight="1">
      <c r="A10" s="4">
        <v>7</v>
      </c>
      <c r="B10" s="11" t="s">
        <v>69</v>
      </c>
      <c r="C10" s="6" t="s">
        <v>16</v>
      </c>
      <c r="D10" s="7" t="s">
        <v>70</v>
      </c>
      <c r="E10" s="6" t="s">
        <v>18</v>
      </c>
      <c r="F10" s="6" t="s">
        <v>19</v>
      </c>
      <c r="G10" s="6" t="s">
        <v>71</v>
      </c>
      <c r="H10" s="6" t="s">
        <v>72</v>
      </c>
      <c r="I10" s="8" t="str">
        <f t="shared" si="0"/>
        <v>linkedin.com/in/zachariah-reitano</v>
      </c>
      <c r="J10" s="6" t="s">
        <v>23</v>
      </c>
      <c r="K10" s="6" t="s">
        <v>24</v>
      </c>
      <c r="L10" s="9" t="s">
        <v>25</v>
      </c>
      <c r="M10" s="6" t="s">
        <v>73</v>
      </c>
    </row>
    <row r="11" ht="36" customHeight="1">
      <c r="A11" s="4">
        <v>8</v>
      </c>
      <c r="B11" s="11" t="s">
        <v>69</v>
      </c>
      <c r="C11" s="6" t="s">
        <v>16</v>
      </c>
      <c r="D11" s="7" t="s">
        <v>74</v>
      </c>
      <c r="E11" s="6" t="s">
        <v>75</v>
      </c>
      <c r="F11" s="6" t="s">
        <v>76</v>
      </c>
      <c r="G11" s="6" t="s">
        <v>77</v>
      </c>
      <c r="H11" s="6" t="s">
        <v>72</v>
      </c>
      <c r="I11" s="6" t="s">
        <v>78</v>
      </c>
      <c r="J11" s="6" t="s">
        <v>79</v>
      </c>
      <c r="K11" s="6" t="s">
        <v>80</v>
      </c>
      <c r="L11" s="12" t="s">
        <v>81</v>
      </c>
      <c r="M11" s="6" t="s">
        <v>82</v>
      </c>
    </row>
    <row r="12" ht="36" customHeight="1">
      <c r="A12" s="4">
        <v>9</v>
      </c>
      <c r="B12" s="11" t="s">
        <v>69</v>
      </c>
      <c r="C12" s="6" t="s">
        <v>16</v>
      </c>
      <c r="D12" s="7" t="s">
        <v>83</v>
      </c>
      <c r="E12" s="6" t="s">
        <v>84</v>
      </c>
      <c r="F12" s="6" t="s">
        <v>85</v>
      </c>
      <c r="G12" s="6" t="s">
        <v>56</v>
      </c>
      <c r="H12" s="6" t="s">
        <v>72</v>
      </c>
      <c r="I12" s="8" t="str">
        <f>HYPERLINK("https://www.linkedin.com/in/alex-blania-b8444aa0","linkedin.com/in/alex-blania")</f>
        <v>linkedin.com/in/alex-blania</v>
      </c>
      <c r="J12" s="6" t="s">
        <v>87</v>
      </c>
      <c r="K12" s="6" t="s">
        <v>88</v>
      </c>
      <c r="L12" s="9" t="s">
        <v>25</v>
      </c>
      <c r="M12" s="6" t="s">
        <v>89</v>
      </c>
    </row>
    <row r="13" ht="36" customHeight="1">
      <c r="A13" s="4">
        <v>10</v>
      </c>
      <c r="B13" s="11" t="s">
        <v>69</v>
      </c>
      <c r="C13" s="6" t="s">
        <v>16</v>
      </c>
      <c r="D13" s="7" t="s">
        <v>90</v>
      </c>
      <c r="E13" s="6" t="s">
        <v>28</v>
      </c>
      <c r="F13" s="6" t="s">
        <v>91</v>
      </c>
      <c r="G13" s="6" t="s">
        <v>92</v>
      </c>
      <c r="H13" s="6" t="s">
        <v>72</v>
      </c>
      <c r="I13" s="8" t="str">
        <f>HYPERLINK("https://www.linkedin.com/in/mayakrampf","linkedin.com/in/mayakrampf")</f>
        <v>linkedin.com/in/mayakrampf</v>
      </c>
      <c r="J13" s="6" t="s">
        <v>94</v>
      </c>
      <c r="K13" s="6" t="s">
        <v>95</v>
      </c>
      <c r="L13" s="9" t="s">
        <v>25</v>
      </c>
      <c r="M13" s="6" t="s">
        <v>96</v>
      </c>
    </row>
    <row r="14" ht="36" customHeight="1">
      <c r="A14" s="4">
        <v>11</v>
      </c>
      <c r="B14" s="11" t="s">
        <v>69</v>
      </c>
      <c r="C14" s="6" t="s">
        <v>16</v>
      </c>
      <c r="D14" s="7" t="s">
        <v>97</v>
      </c>
      <c r="E14" s="6" t="s">
        <v>28</v>
      </c>
      <c r="F14" s="6" t="s">
        <v>98</v>
      </c>
      <c r="G14" s="6" t="s">
        <v>99</v>
      </c>
      <c r="H14" s="6" t="s">
        <v>72</v>
      </c>
      <c r="I14" s="8" t="str">
        <f>HYPERLINK("https://www.linkedin.com/in/kharraz","linkedin.com/in/kharraz")</f>
        <v>linkedin.com/in/kharraz</v>
      </c>
      <c r="J14" s="6" t="s">
        <v>101</v>
      </c>
      <c r="K14" s="6" t="s">
        <v>102</v>
      </c>
      <c r="L14" s="9" t="s">
        <v>25</v>
      </c>
      <c r="M14" s="6" t="s">
        <v>103</v>
      </c>
    </row>
    <row r="15" ht="36" customHeight="1">
      <c r="A15" s="4">
        <v>12</v>
      </c>
      <c r="B15" s="11" t="s">
        <v>69</v>
      </c>
      <c r="C15" s="6" t="s">
        <v>16</v>
      </c>
      <c r="D15" s="7" t="s">
        <v>104</v>
      </c>
      <c r="E15" s="6" t="s">
        <v>105</v>
      </c>
      <c r="F15" s="6" t="s">
        <v>106</v>
      </c>
      <c r="G15" s="6" t="s">
        <v>107</v>
      </c>
      <c r="H15" s="6" t="s">
        <v>72</v>
      </c>
      <c r="I15" s="8" t="str">
        <f>HYPERLINK("https://www.linkedin.com/in/varun-krishna-30019a22","linkedin.com/in/varun-krishna")</f>
        <v>linkedin.com/in/varun-krishna</v>
      </c>
      <c r="J15" s="6" t="s">
        <v>94</v>
      </c>
      <c r="K15" s="6" t="s">
        <v>109</v>
      </c>
      <c r="L15" s="9" t="s">
        <v>25</v>
      </c>
      <c r="M15" s="6" t="s">
        <v>110</v>
      </c>
    </row>
    <row r="16" ht="36" customHeight="1">
      <c r="A16" s="4">
        <v>13</v>
      </c>
      <c r="B16" s="11" t="s">
        <v>69</v>
      </c>
      <c r="C16" s="6" t="s">
        <v>16</v>
      </c>
      <c r="D16" s="7" t="s">
        <v>111</v>
      </c>
      <c r="E16" s="6" t="s">
        <v>112</v>
      </c>
      <c r="F16" s="6" t="s">
        <v>113</v>
      </c>
      <c r="G16" s="6" t="s">
        <v>114</v>
      </c>
      <c r="H16" s="6" t="s">
        <v>72</v>
      </c>
      <c r="I16" s="6" t="s">
        <v>115</v>
      </c>
      <c r="J16" s="6" t="s">
        <v>79</v>
      </c>
      <c r="K16" s="6" t="s">
        <v>116</v>
      </c>
      <c r="L16" s="10" t="s">
        <v>44</v>
      </c>
      <c r="M16" s="6" t="s">
        <v>117</v>
      </c>
    </row>
    <row r="17" ht="36" customHeight="1">
      <c r="A17" s="4">
        <v>14</v>
      </c>
      <c r="B17" s="11" t="s">
        <v>69</v>
      </c>
      <c r="C17" s="6" t="s">
        <v>16</v>
      </c>
      <c r="D17" s="7" t="s">
        <v>118</v>
      </c>
      <c r="E17" s="6" t="s">
        <v>119</v>
      </c>
      <c r="F17" s="6" t="s">
        <v>120</v>
      </c>
      <c r="G17" s="6" t="s">
        <v>121</v>
      </c>
      <c r="H17" s="6" t="s">
        <v>72</v>
      </c>
      <c r="I17" s="6" t="s">
        <v>122</v>
      </c>
      <c r="J17" s="6" t="s">
        <v>79</v>
      </c>
      <c r="K17" s="6" t="s">
        <v>123</v>
      </c>
      <c r="L17" s="12" t="s">
        <v>81</v>
      </c>
      <c r="M17" s="6" t="s">
        <v>124</v>
      </c>
    </row>
    <row r="18" ht="36" customHeight="1">
      <c r="A18" s="4">
        <v>15</v>
      </c>
      <c r="B18" s="11" t="s">
        <v>69</v>
      </c>
      <c r="C18" s="6" t="s">
        <v>16</v>
      </c>
      <c r="D18" s="7" t="s">
        <v>125</v>
      </c>
      <c r="E18" s="6" t="s">
        <v>126</v>
      </c>
      <c r="F18" s="6" t="s">
        <v>127</v>
      </c>
      <c r="G18" s="6" t="s">
        <v>128</v>
      </c>
      <c r="H18" s="6" t="s">
        <v>72</v>
      </c>
      <c r="I18" s="8" t="str">
        <f>HYPERLINK("https://co.linkedin.com/in/juan-sebasti%C3%A1n-uribe-roa","linkedin.com/in/juan-sebastian-uribe-roa")</f>
        <v>linkedin.com/in/juan-sebastian-uribe-roa</v>
      </c>
      <c r="J18" s="6" t="s">
        <v>79</v>
      </c>
      <c r="K18" s="6" t="s">
        <v>130</v>
      </c>
      <c r="L18" s="10" t="s">
        <v>44</v>
      </c>
      <c r="M18" s="6" t="s">
        <v>131</v>
      </c>
    </row>
    <row r="19" ht="36" customHeight="1">
      <c r="A19" s="4">
        <v>16</v>
      </c>
      <c r="B19" s="11" t="s">
        <v>69</v>
      </c>
      <c r="C19" s="6" t="s">
        <v>16</v>
      </c>
      <c r="D19" s="7" t="s">
        <v>132</v>
      </c>
      <c r="E19" s="6" t="s">
        <v>133</v>
      </c>
      <c r="F19" s="6" t="s">
        <v>134</v>
      </c>
      <c r="G19" s="6" t="s">
        <v>135</v>
      </c>
      <c r="H19" s="6" t="s">
        <v>72</v>
      </c>
      <c r="I19" s="6" t="s">
        <v>136</v>
      </c>
      <c r="J19" s="6" t="s">
        <v>79</v>
      </c>
      <c r="K19" s="6" t="s">
        <v>137</v>
      </c>
      <c r="L19" s="12" t="s">
        <v>81</v>
      </c>
      <c r="M19" s="6" t="s">
        <v>138</v>
      </c>
    </row>
    <row r="20" ht="36" customHeight="1">
      <c r="A20" s="4">
        <v>17</v>
      </c>
      <c r="B20" s="11" t="s">
        <v>69</v>
      </c>
      <c r="C20" s="6" t="s">
        <v>16</v>
      </c>
      <c r="D20" s="7" t="s">
        <v>139</v>
      </c>
      <c r="E20" s="6" t="s">
        <v>105</v>
      </c>
      <c r="F20" s="6" t="s">
        <v>140</v>
      </c>
      <c r="G20" s="6" t="s">
        <v>141</v>
      </c>
      <c r="H20" s="6" t="s">
        <v>72</v>
      </c>
      <c r="I20" s="6" t="s">
        <v>142</v>
      </c>
      <c r="J20" s="6" t="s">
        <v>79</v>
      </c>
      <c r="K20" s="6" t="s">
        <v>143</v>
      </c>
      <c r="L20" s="10" t="s">
        <v>44</v>
      </c>
      <c r="M20" s="6" t="s">
        <v>144</v>
      </c>
    </row>
    <row r="21" ht="36" customHeight="1">
      <c r="A21" s="4">
        <v>18</v>
      </c>
      <c r="B21" s="13" t="s">
        <v>145</v>
      </c>
      <c r="C21" s="6" t="s">
        <v>16</v>
      </c>
      <c r="D21" s="7" t="s">
        <v>146</v>
      </c>
      <c r="E21" s="6" t="s">
        <v>147</v>
      </c>
      <c r="F21" s="6" t="s">
        <v>148</v>
      </c>
      <c r="G21" s="6" t="s">
        <v>149</v>
      </c>
      <c r="H21" s="6" t="s">
        <v>72</v>
      </c>
      <c r="I21" s="6" t="s">
        <v>150</v>
      </c>
      <c r="J21" s="6" t="s">
        <v>79</v>
      </c>
      <c r="K21" s="6" t="s">
        <v>151</v>
      </c>
      <c r="L21" s="12" t="s">
        <v>81</v>
      </c>
      <c r="M21" s="6" t="s">
        <v>152</v>
      </c>
    </row>
    <row r="22" ht="36" customHeight="1">
      <c r="A22" s="4">
        <v>19</v>
      </c>
      <c r="B22" s="13" t="s">
        <v>145</v>
      </c>
      <c r="C22" s="6" t="s">
        <v>16</v>
      </c>
      <c r="D22" s="7" t="s">
        <v>153</v>
      </c>
      <c r="E22" s="6" t="s">
        <v>154</v>
      </c>
      <c r="F22" s="6" t="s">
        <v>155</v>
      </c>
      <c r="G22" s="6" t="s">
        <v>156</v>
      </c>
      <c r="H22" s="6" t="s">
        <v>72</v>
      </c>
      <c r="I22" s="8" t="str">
        <f>HYPERLINK("https://www.linkedin.com/in/anthony-gustin","linkedin.com/in/anthony-gustin")</f>
        <v>linkedin.com/in/anthony-gustin</v>
      </c>
      <c r="J22" s="6" t="s">
        <v>158</v>
      </c>
      <c r="K22" s="6" t="s">
        <v>159</v>
      </c>
      <c r="L22" s="9" t="s">
        <v>25</v>
      </c>
      <c r="M22" s="6" t="s">
        <v>160</v>
      </c>
    </row>
    <row r="23" ht="36" customHeight="1">
      <c r="A23" s="4">
        <v>20</v>
      </c>
      <c r="B23" s="13" t="s">
        <v>145</v>
      </c>
      <c r="C23" s="6" t="s">
        <v>16</v>
      </c>
      <c r="D23" s="7" t="s">
        <v>161</v>
      </c>
      <c r="E23" s="6" t="s">
        <v>28</v>
      </c>
      <c r="F23" s="6" t="s">
        <v>162</v>
      </c>
      <c r="G23" s="6" t="s">
        <v>163</v>
      </c>
      <c r="H23" s="6" t="s">
        <v>72</v>
      </c>
      <c r="I23" s="8" t="str">
        <f>HYPERLINK("https://www.linkedin.com/in/florentcrivello","linkedin.com/in/florentcrivello")</f>
        <v>linkedin.com/in/florentcrivello</v>
      </c>
      <c r="J23" s="6" t="s">
        <v>165</v>
      </c>
      <c r="K23" s="6" t="s">
        <v>166</v>
      </c>
      <c r="L23" s="9" t="s">
        <v>25</v>
      </c>
      <c r="M23" s="6" t="s">
        <v>167</v>
      </c>
    </row>
    <row r="24" ht="36" customHeight="1">
      <c r="A24" s="4">
        <v>21</v>
      </c>
      <c r="B24" s="13" t="s">
        <v>145</v>
      </c>
      <c r="C24" s="14" t="s">
        <v>16</v>
      </c>
      <c r="D24" s="7" t="s">
        <v>168</v>
      </c>
      <c r="E24" s="6" t="s">
        <v>105</v>
      </c>
      <c r="F24" s="6" t="s">
        <v>169</v>
      </c>
      <c r="G24" s="6" t="s">
        <v>170</v>
      </c>
      <c r="H24" s="6" t="s">
        <v>72</v>
      </c>
      <c r="I24" s="8" t="str">
        <f>HYPERLINK("https://es.linkedin.com/in/oscargarciamaceiras","linkedin.com/in/oscargarciamaceiras")</f>
        <v>linkedin.com/in/oscargarciamaceiras</v>
      </c>
      <c r="J24" s="6" t="s">
        <v>79</v>
      </c>
      <c r="K24" s="6" t="s">
        <v>172</v>
      </c>
      <c r="L24" s="9" t="s">
        <v>25</v>
      </c>
      <c r="M24" s="6" t="s">
        <v>173</v>
      </c>
    </row>
    <row r="25" ht="36" customHeight="1">
      <c r="A25" s="4">
        <v>22</v>
      </c>
      <c r="B25" s="13" t="s">
        <v>145</v>
      </c>
      <c r="C25" s="14" t="s">
        <v>16</v>
      </c>
      <c r="D25" s="7" t="s">
        <v>174</v>
      </c>
      <c r="E25" s="6" t="s">
        <v>18</v>
      </c>
      <c r="F25" s="6" t="s">
        <v>175</v>
      </c>
      <c r="G25" s="6" t="s">
        <v>176</v>
      </c>
      <c r="H25" s="6" t="s">
        <v>72</v>
      </c>
      <c r="I25" s="8" t="str">
        <f>HYPERLINK("https://in.linkedin.com/in/sneh-vaswani-29b03318","linkedin.com/in/sneh-vaswani")</f>
        <v>linkedin.com/in/sneh-vaswani</v>
      </c>
      <c r="J25" s="6" t="s">
        <v>178</v>
      </c>
      <c r="K25" s="6" t="s">
        <v>179</v>
      </c>
      <c r="L25" s="9" t="s">
        <v>25</v>
      </c>
      <c r="M25" s="6" t="s">
        <v>180</v>
      </c>
    </row>
    <row r="26" ht="36" customHeight="1">
      <c r="A26" s="4">
        <v>23</v>
      </c>
      <c r="B26" s="13" t="s">
        <v>145</v>
      </c>
      <c r="C26" s="14" t="s">
        <v>16</v>
      </c>
      <c r="D26" s="7" t="s">
        <v>181</v>
      </c>
      <c r="E26" s="6" t="s">
        <v>182</v>
      </c>
      <c r="F26" s="6" t="s">
        <v>183</v>
      </c>
      <c r="G26" s="6" t="s">
        <v>184</v>
      </c>
      <c r="H26" s="6" t="s">
        <v>72</v>
      </c>
      <c r="I26" s="6" t="s">
        <v>185</v>
      </c>
      <c r="J26" s="6" t="s">
        <v>79</v>
      </c>
      <c r="K26" s="6" t="s">
        <v>151</v>
      </c>
      <c r="L26" s="12" t="s">
        <v>81</v>
      </c>
      <c r="M26" s="6" t="s">
        <v>186</v>
      </c>
    </row>
    <row r="27" ht="36" customHeight="1">
      <c r="A27" s="4">
        <v>24</v>
      </c>
      <c r="B27" s="13" t="s">
        <v>145</v>
      </c>
      <c r="C27" s="14" t="s">
        <v>16</v>
      </c>
      <c r="D27" s="7" t="s">
        <v>187</v>
      </c>
      <c r="E27" s="6" t="s">
        <v>188</v>
      </c>
      <c r="F27" s="6" t="s">
        <v>189</v>
      </c>
      <c r="G27" s="6" t="s">
        <v>190</v>
      </c>
      <c r="H27" s="6" t="s">
        <v>72</v>
      </c>
      <c r="I27" s="6" t="s">
        <v>191</v>
      </c>
      <c r="J27" s="6" t="s">
        <v>79</v>
      </c>
      <c r="K27" s="6" t="s">
        <v>192</v>
      </c>
      <c r="L27" s="12" t="s">
        <v>81</v>
      </c>
      <c r="M27" s="6" t="s">
        <v>193</v>
      </c>
    </row>
    <row r="28" ht="36" customHeight="1">
      <c r="A28" s="4">
        <v>25</v>
      </c>
      <c r="B28" s="5" t="s">
        <v>15</v>
      </c>
      <c r="C28" s="14" t="s">
        <v>194</v>
      </c>
      <c r="D28" s="7" t="s">
        <v>195</v>
      </c>
      <c r="E28" s="6" t="s">
        <v>196</v>
      </c>
      <c r="F28" s="6" t="s">
        <v>197</v>
      </c>
      <c r="G28" s="6" t="s">
        <v>198</v>
      </c>
      <c r="H28" s="6" t="s">
        <v>72</v>
      </c>
      <c r="I28" s="8" t="str">
        <f>HYPERLINK("https://www.linkedin.com/in/carlos-brito1","linkedin.com/in/carlos-brito1")</f>
        <v>linkedin.com/in/carlos-brito1</v>
      </c>
      <c r="J28" s="6" t="s">
        <v>94</v>
      </c>
      <c r="K28" s="6" t="s">
        <v>200</v>
      </c>
      <c r="L28" s="9" t="s">
        <v>25</v>
      </c>
      <c r="M28" s="6" t="s">
        <v>201</v>
      </c>
    </row>
    <row r="29" ht="36" customHeight="1">
      <c r="A29" s="4">
        <v>26</v>
      </c>
      <c r="B29" s="5" t="s">
        <v>15</v>
      </c>
      <c r="C29" s="14" t="s">
        <v>194</v>
      </c>
      <c r="D29" s="7" t="s">
        <v>202</v>
      </c>
      <c r="E29" s="6" t="s">
        <v>203</v>
      </c>
      <c r="F29" s="6" t="s">
        <v>204</v>
      </c>
      <c r="G29" s="6" t="s">
        <v>205</v>
      </c>
      <c r="H29" s="6" t="s">
        <v>72</v>
      </c>
      <c r="I29" s="6" t="s">
        <v>206</v>
      </c>
      <c r="J29" s="6" t="s">
        <v>94</v>
      </c>
      <c r="K29" s="6" t="s">
        <v>207</v>
      </c>
      <c r="L29" s="10" t="s">
        <v>44</v>
      </c>
      <c r="M29" s="6" t="s">
        <v>208</v>
      </c>
    </row>
    <row r="30" ht="36" customHeight="1">
      <c r="A30" s="4">
        <v>27</v>
      </c>
      <c r="B30" s="5" t="s">
        <v>15</v>
      </c>
      <c r="C30" s="14" t="s">
        <v>194</v>
      </c>
      <c r="D30" s="7" t="s">
        <v>209</v>
      </c>
      <c r="E30" s="6" t="s">
        <v>210</v>
      </c>
      <c r="F30" s="6" t="s">
        <v>211</v>
      </c>
      <c r="G30" s="6" t="s">
        <v>56</v>
      </c>
      <c r="H30" s="6" t="s">
        <v>72</v>
      </c>
      <c r="I30" s="8" t="str">
        <f>HYPERLINK("https://www.linkedin.com/in/tiagosada","linkedin.com/in/tiagosada")</f>
        <v>linkedin.com/in/tiagosada</v>
      </c>
      <c r="J30" s="6" t="s">
        <v>213</v>
      </c>
      <c r="K30" s="6" t="s">
        <v>214</v>
      </c>
      <c r="L30" s="9" t="s">
        <v>25</v>
      </c>
      <c r="M30" s="6" t="s">
        <v>215</v>
      </c>
    </row>
    <row r="31" ht="36" customHeight="1">
      <c r="A31" s="4">
        <v>28</v>
      </c>
      <c r="B31" s="5" t="s">
        <v>15</v>
      </c>
      <c r="C31" s="14" t="s">
        <v>194</v>
      </c>
      <c r="D31" s="7" t="s">
        <v>216</v>
      </c>
      <c r="E31" s="6" t="s">
        <v>217</v>
      </c>
      <c r="F31" s="6" t="s">
        <v>218</v>
      </c>
      <c r="G31" s="6" t="s">
        <v>219</v>
      </c>
      <c r="H31" s="6" t="s">
        <v>72</v>
      </c>
      <c r="I31" s="8" t="str">
        <f>HYPERLINK("https://ca.linkedin.com/in/marc-b%C3%A9dard-42a18622","linkedin.com/in/marc-bedard")</f>
        <v>linkedin.com/in/marc-bedard</v>
      </c>
      <c r="J31" s="6" t="s">
        <v>79</v>
      </c>
      <c r="K31" s="6" t="s">
        <v>221</v>
      </c>
      <c r="L31" s="9" t="s">
        <v>25</v>
      </c>
      <c r="M31" s="6" t="s">
        <v>222</v>
      </c>
    </row>
    <row r="32" ht="36" customHeight="1">
      <c r="A32" s="4">
        <v>29</v>
      </c>
      <c r="B32" s="5" t="s">
        <v>15</v>
      </c>
      <c r="C32" s="14" t="s">
        <v>194</v>
      </c>
      <c r="D32" s="7" t="s">
        <v>223</v>
      </c>
      <c r="E32" s="6" t="s">
        <v>224</v>
      </c>
      <c r="F32" s="6" t="s">
        <v>225</v>
      </c>
      <c r="G32" s="6" t="s">
        <v>226</v>
      </c>
      <c r="H32" s="6" t="s">
        <v>72</v>
      </c>
      <c r="I32" s="6" t="s">
        <v>227</v>
      </c>
      <c r="J32" s="6" t="s">
        <v>228</v>
      </c>
      <c r="K32" s="6" t="s">
        <v>229</v>
      </c>
      <c r="L32" s="9" t="s">
        <v>25</v>
      </c>
      <c r="M32" s="6" t="s">
        <v>230</v>
      </c>
    </row>
    <row r="33" ht="36" customHeight="1">
      <c r="A33" s="4">
        <v>30</v>
      </c>
      <c r="B33" s="5" t="s">
        <v>15</v>
      </c>
      <c r="C33" s="14" t="s">
        <v>194</v>
      </c>
      <c r="D33" s="7" t="s">
        <v>231</v>
      </c>
      <c r="E33" s="6" t="s">
        <v>232</v>
      </c>
      <c r="F33" s="6" t="s">
        <v>233</v>
      </c>
      <c r="G33" s="6" t="s">
        <v>234</v>
      </c>
      <c r="H33" s="6" t="s">
        <v>72</v>
      </c>
      <c r="I33" s="8" t="str">
        <f>HYPERLINK("https://www.linkedin.com/in/courtlandallen","linkedin.com/in/courtlandallen")</f>
        <v>linkedin.com/in/courtlandallen</v>
      </c>
      <c r="J33" s="6" t="s">
        <v>236</v>
      </c>
      <c r="K33" s="6" t="s">
        <v>237</v>
      </c>
      <c r="L33" s="9" t="s">
        <v>25</v>
      </c>
      <c r="M33" s="6" t="s">
        <v>238</v>
      </c>
    </row>
    <row r="34" ht="36" customHeight="1">
      <c r="A34" s="4">
        <v>31</v>
      </c>
      <c r="B34" s="5" t="s">
        <v>15</v>
      </c>
      <c r="C34" s="14" t="s">
        <v>194</v>
      </c>
      <c r="D34" s="7" t="s">
        <v>239</v>
      </c>
      <c r="E34" s="6" t="s">
        <v>18</v>
      </c>
      <c r="F34" s="6" t="s">
        <v>240</v>
      </c>
      <c r="G34" s="6" t="s">
        <v>234</v>
      </c>
      <c r="H34" s="6" t="s">
        <v>72</v>
      </c>
      <c r="I34" s="8" t="str">
        <f>HYPERLINK("https://www.linkedin.com/in/patrickcollison","linkedin.com/in/patrickcollison")</f>
        <v>linkedin.com/in/patrickcollison</v>
      </c>
      <c r="J34" s="6" t="s">
        <v>242</v>
      </c>
      <c r="K34" s="6" t="s">
        <v>243</v>
      </c>
      <c r="L34" s="9" t="s">
        <v>25</v>
      </c>
      <c r="M34" s="6" t="s">
        <v>244</v>
      </c>
    </row>
    <row r="35" ht="36" customHeight="1">
      <c r="A35" s="4">
        <v>32</v>
      </c>
      <c r="B35" s="5" t="s">
        <v>15</v>
      </c>
      <c r="C35" s="14" t="s">
        <v>194</v>
      </c>
      <c r="D35" s="7" t="s">
        <v>245</v>
      </c>
      <c r="E35" s="6" t="s">
        <v>246</v>
      </c>
      <c r="F35" s="6" t="s">
        <v>247</v>
      </c>
      <c r="G35" s="6" t="s">
        <v>234</v>
      </c>
      <c r="H35" s="6" t="s">
        <v>72</v>
      </c>
      <c r="I35" s="8" t="str">
        <f>HYPERLINK("https://www.linkedin.com/in/garrytan","linkedin.com/in/garrytan")</f>
        <v>linkedin.com/in/garrytan</v>
      </c>
      <c r="J35" s="6" t="s">
        <v>249</v>
      </c>
      <c r="K35" s="6" t="s">
        <v>250</v>
      </c>
      <c r="L35" s="9" t="s">
        <v>25</v>
      </c>
      <c r="M35" s="6" t="s">
        <v>251</v>
      </c>
    </row>
    <row r="36" ht="36" customHeight="1">
      <c r="A36" s="4">
        <v>33</v>
      </c>
      <c r="B36" s="5" t="s">
        <v>15</v>
      </c>
      <c r="C36" s="14" t="s">
        <v>194</v>
      </c>
      <c r="D36" s="7" t="s">
        <v>252</v>
      </c>
      <c r="E36" s="6" t="s">
        <v>18</v>
      </c>
      <c r="F36" s="6" t="s">
        <v>253</v>
      </c>
      <c r="G36" s="6" t="s">
        <v>234</v>
      </c>
      <c r="H36" s="6" t="s">
        <v>72</v>
      </c>
      <c r="I36" s="8" t="str">
        <f>HYPERLINK("https://www.linkedin.com/in/amjadmasad","linkedin.com/in/amjadmasad")</f>
        <v>linkedin.com/in/amjadmasad</v>
      </c>
      <c r="J36" s="6" t="s">
        <v>255</v>
      </c>
      <c r="K36" s="6" t="s">
        <v>256</v>
      </c>
      <c r="L36" s="9" t="s">
        <v>25</v>
      </c>
      <c r="M36" s="6" t="s">
        <v>257</v>
      </c>
    </row>
    <row r="37" ht="36" customHeight="1">
      <c r="A37" s="4">
        <v>34</v>
      </c>
      <c r="B37" s="11" t="s">
        <v>69</v>
      </c>
      <c r="C37" s="14" t="s">
        <v>194</v>
      </c>
      <c r="D37" s="7" t="s">
        <v>258</v>
      </c>
      <c r="E37" s="6" t="s">
        <v>259</v>
      </c>
      <c r="F37" s="6" t="s">
        <v>260</v>
      </c>
      <c r="G37" s="6" t="s">
        <v>261</v>
      </c>
      <c r="H37" s="6" t="s">
        <v>72</v>
      </c>
      <c r="I37" s="6" t="s">
        <v>262</v>
      </c>
      <c r="J37" s="6" t="s">
        <v>79</v>
      </c>
      <c r="K37" s="6" t="s">
        <v>263</v>
      </c>
      <c r="L37" s="12" t="s">
        <v>81</v>
      </c>
      <c r="M37" s="6" t="s">
        <v>264</v>
      </c>
    </row>
    <row r="38" ht="36" customHeight="1">
      <c r="A38" s="4">
        <v>35</v>
      </c>
      <c r="B38" s="11" t="s">
        <v>69</v>
      </c>
      <c r="C38" s="14" t="s">
        <v>194</v>
      </c>
      <c r="D38" s="7" t="s">
        <v>265</v>
      </c>
      <c r="E38" s="6" t="s">
        <v>266</v>
      </c>
      <c r="F38" s="6" t="s">
        <v>267</v>
      </c>
      <c r="G38" s="6" t="s">
        <v>261</v>
      </c>
      <c r="H38" s="6" t="s">
        <v>72</v>
      </c>
      <c r="I38" s="8" t="str">
        <f>HYPERLINK("https://ar.linkedin.com/in/vicente-di-loreto-4136aa27","linkedin.com/in/vicente-di-loreto")</f>
        <v>linkedin.com/in/vicente-di-loreto</v>
      </c>
      <c r="J38" s="6" t="s">
        <v>79</v>
      </c>
      <c r="K38" s="6" t="s">
        <v>269</v>
      </c>
      <c r="L38" s="10" t="s">
        <v>44</v>
      </c>
      <c r="M38" s="6" t="s">
        <v>270</v>
      </c>
    </row>
    <row r="39" ht="36" customHeight="1">
      <c r="A39" s="4">
        <v>36</v>
      </c>
      <c r="B39" s="11" t="s">
        <v>69</v>
      </c>
      <c r="C39" s="14" t="s">
        <v>194</v>
      </c>
      <c r="D39" s="7" t="s">
        <v>271</v>
      </c>
      <c r="E39" s="6" t="s">
        <v>28</v>
      </c>
      <c r="F39" s="6" t="s">
        <v>272</v>
      </c>
      <c r="G39" s="6" t="s">
        <v>273</v>
      </c>
      <c r="H39" s="6" t="s">
        <v>72</v>
      </c>
      <c r="I39" s="8" t="str">
        <f t="shared" si="1" ref="I39:I67">HYPERLINK("https://www.linkedin.com/in/shaynecoplan","linkedin.com/in/shaynecoplan")</f>
        <v>linkedin.com/in/shaynecoplan</v>
      </c>
      <c r="J39" s="6" t="s">
        <v>275</v>
      </c>
      <c r="K39" s="6" t="s">
        <v>276</v>
      </c>
      <c r="L39" s="9" t="s">
        <v>25</v>
      </c>
      <c r="M39" s="6" t="s">
        <v>277</v>
      </c>
    </row>
    <row r="40" ht="36" customHeight="1">
      <c r="A40" s="4">
        <v>37</v>
      </c>
      <c r="B40" s="11" t="s">
        <v>69</v>
      </c>
      <c r="C40" s="14" t="s">
        <v>194</v>
      </c>
      <c r="D40" s="7" t="s">
        <v>278</v>
      </c>
      <c r="E40" s="6" t="s">
        <v>18</v>
      </c>
      <c r="F40" s="6" t="s">
        <v>279</v>
      </c>
      <c r="G40" s="6" t="s">
        <v>280</v>
      </c>
      <c r="H40" s="6" t="s">
        <v>72</v>
      </c>
      <c r="I40" s="8" t="str">
        <f>HYPERLINK("https://br.linkedin.com/in/lincoln-ando-96989166","linkedin.com/in/lincoln-ando")</f>
        <v>linkedin.com/in/lincoln-ando</v>
      </c>
      <c r="J40" s="6" t="s">
        <v>79</v>
      </c>
      <c r="K40" s="6" t="s">
        <v>282</v>
      </c>
      <c r="L40" s="9" t="s">
        <v>25</v>
      </c>
      <c r="M40" s="6" t="s">
        <v>283</v>
      </c>
    </row>
    <row r="41" ht="36" customHeight="1">
      <c r="A41" s="4">
        <v>38</v>
      </c>
      <c r="B41" s="11" t="s">
        <v>69</v>
      </c>
      <c r="C41" s="14" t="s">
        <v>194</v>
      </c>
      <c r="D41" s="7" t="s">
        <v>284</v>
      </c>
      <c r="E41" s="6" t="s">
        <v>18</v>
      </c>
      <c r="F41" s="6" t="s">
        <v>285</v>
      </c>
      <c r="G41" s="6" t="s">
        <v>286</v>
      </c>
      <c r="H41" s="6" t="s">
        <v>72</v>
      </c>
      <c r="I41" s="8" t="str">
        <f>HYPERLINK("https://es.linkedin.com/in/mariusz-gralewski-054a5976","linkedin.com/in/mariusz-gralewski")</f>
        <v>linkedin.com/in/mariusz-gralewski</v>
      </c>
      <c r="J41" s="6" t="s">
        <v>79</v>
      </c>
      <c r="K41" s="6" t="s">
        <v>288</v>
      </c>
      <c r="L41" s="9" t="s">
        <v>25</v>
      </c>
      <c r="M41" s="6" t="s">
        <v>289</v>
      </c>
    </row>
    <row r="42" ht="36" customHeight="1">
      <c r="A42" s="4">
        <v>39</v>
      </c>
      <c r="B42" s="11" t="s">
        <v>69</v>
      </c>
      <c r="C42" s="14" t="s">
        <v>194</v>
      </c>
      <c r="D42" s="7" t="s">
        <v>290</v>
      </c>
      <c r="E42" s="6" t="s">
        <v>28</v>
      </c>
      <c r="F42" s="6" t="s">
        <v>291</v>
      </c>
      <c r="G42" s="6" t="s">
        <v>292</v>
      </c>
      <c r="H42" s="6" t="s">
        <v>72</v>
      </c>
      <c r="I42" s="8" t="str">
        <f>HYPERLINK("https://www.linkedin.com/in/anthony-hsieh-a3329a45","linkedin.com/in/anthony-hsieh")</f>
        <v>linkedin.com/in/anthony-hsieh</v>
      </c>
      <c r="J42" s="6" t="s">
        <v>94</v>
      </c>
      <c r="K42" s="6" t="s">
        <v>294</v>
      </c>
      <c r="L42" s="9" t="s">
        <v>25</v>
      </c>
      <c r="M42" s="6" t="s">
        <v>295</v>
      </c>
    </row>
    <row r="43" ht="36" customHeight="1">
      <c r="A43" s="4">
        <v>40</v>
      </c>
      <c r="B43" s="11" t="s">
        <v>69</v>
      </c>
      <c r="C43" s="14" t="s">
        <v>194</v>
      </c>
      <c r="D43" s="7" t="s">
        <v>296</v>
      </c>
      <c r="E43" s="6" t="s">
        <v>297</v>
      </c>
      <c r="F43" s="6" t="s">
        <v>298</v>
      </c>
      <c r="G43" s="6" t="s">
        <v>299</v>
      </c>
      <c r="H43" s="6" t="s">
        <v>72</v>
      </c>
      <c r="I43" s="8" t="str">
        <f>HYPERLINK("https://www.linkedin.com/in/douglebda","linkedin.com/in/douglebda (legacy)")</f>
        <v>linkedin.com/in/douglebda (legacy)</v>
      </c>
      <c r="J43" s="6" t="s">
        <v>301</v>
      </c>
      <c r="K43" s="6" t="s">
        <v>302</v>
      </c>
      <c r="L43" s="10" t="s">
        <v>44</v>
      </c>
      <c r="M43" s="6" t="s">
        <v>303</v>
      </c>
    </row>
    <row r="44" ht="36" customHeight="1">
      <c r="A44" s="4">
        <v>41</v>
      </c>
      <c r="B44" s="11" t="s">
        <v>69</v>
      </c>
      <c r="C44" s="14" t="s">
        <v>194</v>
      </c>
      <c r="D44" s="7" t="s">
        <v>304</v>
      </c>
      <c r="E44" s="6" t="s">
        <v>105</v>
      </c>
      <c r="F44" s="6" t="s">
        <v>305</v>
      </c>
      <c r="G44" s="6" t="s">
        <v>306</v>
      </c>
      <c r="H44" s="6" t="s">
        <v>72</v>
      </c>
      <c r="I44" s="8" t="str">
        <f>HYPERLINK("https://www.linkedin.com/in/anthonynoto","linkedin.com/in/anthonynoto")</f>
        <v>linkedin.com/in/anthonynoto</v>
      </c>
      <c r="J44" s="6" t="s">
        <v>308</v>
      </c>
      <c r="K44" s="6" t="s">
        <v>309</v>
      </c>
      <c r="L44" s="9" t="s">
        <v>25</v>
      </c>
      <c r="M44" s="6" t="s">
        <v>310</v>
      </c>
    </row>
    <row r="45" ht="36" customHeight="1">
      <c r="A45" s="4">
        <v>42</v>
      </c>
      <c r="B45" s="11" t="s">
        <v>69</v>
      </c>
      <c r="C45" s="14" t="s">
        <v>194</v>
      </c>
      <c r="D45" s="7" t="s">
        <v>311</v>
      </c>
      <c r="E45" s="6" t="s">
        <v>312</v>
      </c>
      <c r="F45" s="6" t="s">
        <v>313</v>
      </c>
      <c r="G45" s="6" t="s">
        <v>314</v>
      </c>
      <c r="H45" s="6" t="s">
        <v>72</v>
      </c>
      <c r="I45" s="8" t="str">
        <f>HYPERLINK("https://www.linkedin.com/in/straschnov","linkedin.com/in/straschnov")</f>
        <v>linkedin.com/in/straschnov</v>
      </c>
      <c r="J45" s="6" t="s">
        <v>316</v>
      </c>
      <c r="K45" s="6" t="s">
        <v>317</v>
      </c>
      <c r="L45" s="9" t="s">
        <v>25</v>
      </c>
      <c r="M45" s="6" t="s">
        <v>318</v>
      </c>
    </row>
    <row r="46" ht="36" customHeight="1">
      <c r="A46" s="4">
        <v>43</v>
      </c>
      <c r="B46" s="13" t="s">
        <v>145</v>
      </c>
      <c r="C46" s="14" t="s">
        <v>194</v>
      </c>
      <c r="D46" s="7" t="s">
        <v>319</v>
      </c>
      <c r="E46" s="6" t="s">
        <v>18</v>
      </c>
      <c r="F46" s="6" t="s">
        <v>320</v>
      </c>
      <c r="G46" s="6" t="s">
        <v>321</v>
      </c>
      <c r="H46" s="6" t="s">
        <v>72</v>
      </c>
      <c r="I46" s="8" t="str">
        <f>HYPERLINK("https://www.linkedin.com/in/cjgbest","linkedin.com/in/cjgbest")</f>
        <v>linkedin.com/in/cjgbest</v>
      </c>
      <c r="J46" s="6" t="s">
        <v>323</v>
      </c>
      <c r="K46" s="6" t="s">
        <v>324</v>
      </c>
      <c r="L46" s="9" t="s">
        <v>25</v>
      </c>
      <c r="M46" s="6" t="s">
        <v>325</v>
      </c>
    </row>
    <row r="47" ht="36" customHeight="1">
      <c r="A47" s="4">
        <v>44</v>
      </c>
      <c r="B47" s="13" t="s">
        <v>145</v>
      </c>
      <c r="C47" s="14" t="s">
        <v>194</v>
      </c>
      <c r="D47" s="7" t="s">
        <v>326</v>
      </c>
      <c r="E47" s="6" t="s">
        <v>28</v>
      </c>
      <c r="F47" s="6" t="s">
        <v>327</v>
      </c>
      <c r="G47" s="6" t="s">
        <v>328</v>
      </c>
      <c r="H47" s="6" t="s">
        <v>72</v>
      </c>
      <c r="I47" s="6" t="s">
        <v>329</v>
      </c>
      <c r="J47" s="6" t="s">
        <v>79</v>
      </c>
      <c r="K47" s="6" t="s">
        <v>330</v>
      </c>
      <c r="L47" s="10" t="s">
        <v>44</v>
      </c>
      <c r="M47" s="6" t="s">
        <v>331</v>
      </c>
    </row>
    <row r="48" ht="36" customHeight="1">
      <c r="A48" s="4">
        <v>45</v>
      </c>
      <c r="B48" s="13" t="s">
        <v>145</v>
      </c>
      <c r="C48" s="14" t="s">
        <v>194</v>
      </c>
      <c r="D48" s="7" t="s">
        <v>332</v>
      </c>
      <c r="E48" s="6" t="s">
        <v>333</v>
      </c>
      <c r="F48" s="6" t="s">
        <v>334</v>
      </c>
      <c r="G48" s="6" t="s">
        <v>335</v>
      </c>
      <c r="H48" s="6" t="s">
        <v>72</v>
      </c>
      <c r="I48" s="6" t="s">
        <v>336</v>
      </c>
      <c r="J48" s="6" t="s">
        <v>79</v>
      </c>
      <c r="K48" s="6" t="s">
        <v>337</v>
      </c>
      <c r="L48" s="12" t="s">
        <v>81</v>
      </c>
      <c r="M48" s="6" t="s">
        <v>338</v>
      </c>
    </row>
    <row r="49" ht="36" customHeight="1">
      <c r="A49" s="4">
        <v>46</v>
      </c>
      <c r="B49" s="13" t="s">
        <v>145</v>
      </c>
      <c r="C49" s="14" t="s">
        <v>194</v>
      </c>
      <c r="D49" s="7" t="s">
        <v>339</v>
      </c>
      <c r="E49" s="6" t="s">
        <v>18</v>
      </c>
      <c r="F49" s="6" t="s">
        <v>340</v>
      </c>
      <c r="G49" s="6" t="s">
        <v>341</v>
      </c>
      <c r="H49" s="6" t="s">
        <v>72</v>
      </c>
      <c r="I49" s="8" t="str">
        <f t="shared" si="2" ref="I49:I69">HYPERLINK("https://www.linkedin.com/in/ernie-garcia-8122a421","linkedin.com/in/ernie-garcia")</f>
        <v>linkedin.com/in/ernie-garcia</v>
      </c>
      <c r="J49" s="6" t="s">
        <v>94</v>
      </c>
      <c r="K49" s="6" t="s">
        <v>343</v>
      </c>
      <c r="L49" s="9" t="s">
        <v>25</v>
      </c>
      <c r="M49" s="6" t="s">
        <v>344</v>
      </c>
    </row>
    <row r="50" ht="36" customHeight="1">
      <c r="A50" s="4">
        <v>47</v>
      </c>
      <c r="B50" s="13" t="s">
        <v>145</v>
      </c>
      <c r="C50" s="14" t="s">
        <v>194</v>
      </c>
      <c r="D50" s="7" t="s">
        <v>345</v>
      </c>
      <c r="E50" s="6" t="s">
        <v>346</v>
      </c>
      <c r="F50" s="6" t="s">
        <v>347</v>
      </c>
      <c r="G50" s="6" t="s">
        <v>348</v>
      </c>
      <c r="H50" s="6" t="s">
        <v>72</v>
      </c>
      <c r="I50" s="8" t="str">
        <f>HYPERLINK("https://www.linkedin.com/in/justinschreiber","linkedin.com/in/justinschreiber")</f>
        <v>linkedin.com/in/justinschreiber</v>
      </c>
      <c r="J50" s="6" t="s">
        <v>79</v>
      </c>
      <c r="K50" s="6" t="s">
        <v>350</v>
      </c>
      <c r="L50" s="10" t="s">
        <v>44</v>
      </c>
      <c r="M50" s="6" t="s">
        <v>351</v>
      </c>
    </row>
    <row r="51" ht="36" customHeight="1">
      <c r="A51" s="4">
        <v>48</v>
      </c>
      <c r="B51" s="13" t="s">
        <v>145</v>
      </c>
      <c r="C51" s="14" t="s">
        <v>194</v>
      </c>
      <c r="D51" s="7" t="s">
        <v>352</v>
      </c>
      <c r="E51" s="6" t="s">
        <v>353</v>
      </c>
      <c r="F51" s="6" t="s">
        <v>354</v>
      </c>
      <c r="G51" s="6" t="s">
        <v>348</v>
      </c>
      <c r="H51" s="6" t="s">
        <v>72</v>
      </c>
      <c r="I51" s="6" t="s">
        <v>355</v>
      </c>
      <c r="J51" s="6" t="s">
        <v>79</v>
      </c>
      <c r="K51" s="6" t="s">
        <v>356</v>
      </c>
      <c r="L51" s="12" t="s">
        <v>81</v>
      </c>
      <c r="M51" s="6" t="s">
        <v>357</v>
      </c>
    </row>
    <row r="52" ht="36" customHeight="1">
      <c r="A52" s="4">
        <v>49</v>
      </c>
      <c r="B52" s="11" t="s">
        <v>69</v>
      </c>
      <c r="C52" s="14" t="s">
        <v>16</v>
      </c>
      <c r="D52" s="7" t="s">
        <v>358</v>
      </c>
      <c r="E52" s="6" t="s">
        <v>359</v>
      </c>
      <c r="F52" s="6" t="s">
        <v>19</v>
      </c>
      <c r="G52" s="6" t="s">
        <v>360</v>
      </c>
      <c r="H52" s="6" t="s">
        <v>72</v>
      </c>
      <c r="I52" s="6" t="s">
        <v>361</v>
      </c>
      <c r="J52" s="6" t="s">
        <v>79</v>
      </c>
      <c r="K52" s="6" t="s">
        <v>362</v>
      </c>
      <c r="L52" s="10" t="s">
        <v>44</v>
      </c>
      <c r="M52" s="6" t="s">
        <v>363</v>
      </c>
    </row>
    <row r="53" ht="36" customHeight="1">
      <c r="A53" s="4">
        <v>50</v>
      </c>
      <c r="B53" s="11" t="s">
        <v>69</v>
      </c>
      <c r="C53" s="14" t="s">
        <v>194</v>
      </c>
      <c r="D53" s="7" t="s">
        <v>364</v>
      </c>
      <c r="E53" s="6" t="s">
        <v>365</v>
      </c>
      <c r="F53" s="6" t="s">
        <v>197</v>
      </c>
      <c r="G53" s="6" t="s">
        <v>198</v>
      </c>
      <c r="H53" s="6" t="s">
        <v>72</v>
      </c>
      <c r="I53" s="6" t="s">
        <v>366</v>
      </c>
      <c r="J53" s="6" t="s">
        <v>79</v>
      </c>
      <c r="K53" s="6" t="s">
        <v>200</v>
      </c>
      <c r="L53" s="10" t="s">
        <v>44</v>
      </c>
      <c r="M53" s="6" t="s">
        <v>367</v>
      </c>
    </row>
    <row r="54" ht="36" customHeight="1">
      <c r="A54" s="4">
        <v>51</v>
      </c>
      <c r="B54" s="5" t="s">
        <v>15</v>
      </c>
      <c r="C54" s="14" t="s">
        <v>368</v>
      </c>
      <c r="D54" s="7" t="s">
        <v>369</v>
      </c>
      <c r="E54" s="6" t="s">
        <v>370</v>
      </c>
      <c r="F54" s="6" t="s">
        <v>371</v>
      </c>
      <c r="G54" s="6" t="s">
        <v>372</v>
      </c>
      <c r="H54" s="6" t="s">
        <v>72</v>
      </c>
      <c r="I54" s="8" t="str">
        <f>HYPERLINK("https://mx.linkedin.com/in/jeanjereissati","linkedin.com/in/jeanjereissati")</f>
        <v>linkedin.com/in/jeanjereissati</v>
      </c>
      <c r="J54" s="6" t="s">
        <v>94</v>
      </c>
      <c r="K54" s="6" t="s">
        <v>374</v>
      </c>
      <c r="L54" s="9" t="s">
        <v>25</v>
      </c>
      <c r="M54" s="6" t="s">
        <v>375</v>
      </c>
    </row>
    <row r="55" ht="36" customHeight="1">
      <c r="A55" s="4">
        <v>52</v>
      </c>
      <c r="B55" s="5" t="s">
        <v>15</v>
      </c>
      <c r="C55" s="14" t="s">
        <v>368</v>
      </c>
      <c r="D55" s="7" t="s">
        <v>376</v>
      </c>
      <c r="E55" s="6" t="s">
        <v>377</v>
      </c>
      <c r="F55" s="6" t="s">
        <v>378</v>
      </c>
      <c r="G55" s="6" t="s">
        <v>379</v>
      </c>
      <c r="H55" s="6" t="s">
        <v>72</v>
      </c>
      <c r="I55" s="8" t="str">
        <f>HYPERLINK("https://www.linkedin.com/in/marc-busain-00802419","linkedin.com/in/marc-busain")</f>
        <v>linkedin.com/in/marc-busain</v>
      </c>
      <c r="J55" s="6" t="s">
        <v>94</v>
      </c>
      <c r="K55" s="6" t="s">
        <v>381</v>
      </c>
      <c r="L55" s="9" t="s">
        <v>25</v>
      </c>
      <c r="M55" s="6" t="s">
        <v>382</v>
      </c>
    </row>
    <row r="56" ht="36" customHeight="1">
      <c r="A56" s="4">
        <v>53</v>
      </c>
      <c r="B56" s="5" t="s">
        <v>15</v>
      </c>
      <c r="C56" s="14" t="s">
        <v>368</v>
      </c>
      <c r="D56" s="7" t="s">
        <v>383</v>
      </c>
      <c r="E56" s="6" t="s">
        <v>384</v>
      </c>
      <c r="F56" s="6" t="s">
        <v>385</v>
      </c>
      <c r="G56" s="6" t="s">
        <v>386</v>
      </c>
      <c r="H56" s="6" t="s">
        <v>72</v>
      </c>
      <c r="I56" s="8" t="str">
        <f>HYPERLINK("https://mx.linkedin.com/in/juan-pablo-de-velasco-garcía-452a57b","linkedin.com/in/juan-pablo-de-velasco-garcia")</f>
        <v>linkedin.com/in/juan-pablo-de-velasco-garcia</v>
      </c>
      <c r="J56" s="6" t="s">
        <v>79</v>
      </c>
      <c r="K56" s="6" t="s">
        <v>388</v>
      </c>
      <c r="L56" s="10" t="s">
        <v>44</v>
      </c>
      <c r="M56" s="6" t="s">
        <v>389</v>
      </c>
    </row>
    <row r="57" ht="36" customHeight="1">
      <c r="A57" s="4">
        <v>54</v>
      </c>
      <c r="B57" s="5" t="s">
        <v>15</v>
      </c>
      <c r="C57" s="14" t="s">
        <v>368</v>
      </c>
      <c r="D57" s="7" t="s">
        <v>390</v>
      </c>
      <c r="E57" s="6" t="s">
        <v>391</v>
      </c>
      <c r="F57" s="6" t="s">
        <v>392</v>
      </c>
      <c r="G57" s="6" t="s">
        <v>393</v>
      </c>
      <c r="H57" s="6" t="s">
        <v>72</v>
      </c>
      <c r="I57" s="8" t="str">
        <f>HYPERLINK("https://ca.linkedin.com/in/yoshuabengio","linkedin.com/in/yoshuabengio")</f>
        <v>linkedin.com/in/yoshuabengio</v>
      </c>
      <c r="J57" s="6" t="s">
        <v>395</v>
      </c>
      <c r="K57" s="6" t="s">
        <v>396</v>
      </c>
      <c r="L57" s="9" t="s">
        <v>25</v>
      </c>
      <c r="M57" s="6" t="s">
        <v>397</v>
      </c>
    </row>
    <row r="58" ht="36" customHeight="1">
      <c r="A58" s="4">
        <v>55</v>
      </c>
      <c r="B58" s="5" t="s">
        <v>15</v>
      </c>
      <c r="C58" s="14" t="s">
        <v>368</v>
      </c>
      <c r="D58" s="7" t="s">
        <v>398</v>
      </c>
      <c r="E58" s="6" t="s">
        <v>246</v>
      </c>
      <c r="F58" s="6" t="s">
        <v>399</v>
      </c>
      <c r="G58" s="6" t="s">
        <v>393</v>
      </c>
      <c r="H58" s="6" t="s">
        <v>72</v>
      </c>
      <c r="I58" s="8" t="str">
        <f>HYPERLINK("https://ca.linkedin.com/in/valeriepisano","linkedin.com/in/valeriepisano")</f>
        <v>linkedin.com/in/valeriepisano</v>
      </c>
      <c r="J58" s="6" t="s">
        <v>79</v>
      </c>
      <c r="K58" s="6" t="s">
        <v>401</v>
      </c>
      <c r="L58" s="9" t="s">
        <v>25</v>
      </c>
      <c r="M58" s="6" t="s">
        <v>402</v>
      </c>
    </row>
    <row r="59" ht="36" customHeight="1">
      <c r="A59" s="4">
        <v>56</v>
      </c>
      <c r="B59" s="5" t="s">
        <v>15</v>
      </c>
      <c r="C59" s="14" t="s">
        <v>368</v>
      </c>
      <c r="D59" s="7" t="s">
        <v>403</v>
      </c>
      <c r="E59" s="6" t="s">
        <v>404</v>
      </c>
      <c r="F59" s="6" t="s">
        <v>405</v>
      </c>
      <c r="G59" s="6" t="s">
        <v>406</v>
      </c>
      <c r="H59" s="6" t="s">
        <v>72</v>
      </c>
      <c r="I59" s="8" t="str">
        <f>HYPERLINK("https://ca.linkedin.com/in/jfgagne","linkedin.com/in/jfgagne")</f>
        <v>linkedin.com/in/jfgagne</v>
      </c>
      <c r="J59" s="6" t="s">
        <v>408</v>
      </c>
      <c r="K59" s="6" t="s">
        <v>409</v>
      </c>
      <c r="L59" s="10" t="s">
        <v>44</v>
      </c>
      <c r="M59" s="6" t="s">
        <v>410</v>
      </c>
    </row>
    <row r="60" ht="36" customHeight="1">
      <c r="A60" s="4">
        <v>57</v>
      </c>
      <c r="B60" s="5" t="s">
        <v>15</v>
      </c>
      <c r="C60" s="14" t="s">
        <v>368</v>
      </c>
      <c r="D60" s="7" t="s">
        <v>411</v>
      </c>
      <c r="E60" s="6" t="s">
        <v>28</v>
      </c>
      <c r="F60" s="6" t="s">
        <v>412</v>
      </c>
      <c r="G60" s="6" t="s">
        <v>219</v>
      </c>
      <c r="H60" s="6" t="s">
        <v>72</v>
      </c>
      <c r="I60" s="8" t="str">
        <f>HYPERLINK("https://ca.linkedin.com/in/raquel-urtasun-298400139","linkedin.com/in/raquel-urtasun")</f>
        <v>linkedin.com/in/raquel-urtasun</v>
      </c>
      <c r="J60" s="6" t="s">
        <v>414</v>
      </c>
      <c r="K60" s="6" t="s">
        <v>415</v>
      </c>
      <c r="L60" s="9" t="s">
        <v>25</v>
      </c>
      <c r="M60" s="6" t="s">
        <v>416</v>
      </c>
    </row>
    <row r="61" ht="36" customHeight="1">
      <c r="A61" s="4">
        <v>58</v>
      </c>
      <c r="B61" s="5" t="s">
        <v>15</v>
      </c>
      <c r="C61" s="14" t="s">
        <v>368</v>
      </c>
      <c r="D61" s="7" t="s">
        <v>417</v>
      </c>
      <c r="E61" s="6" t="s">
        <v>18</v>
      </c>
      <c r="F61" s="6" t="s">
        <v>418</v>
      </c>
      <c r="G61" s="6" t="s">
        <v>419</v>
      </c>
      <c r="H61" s="6" t="s">
        <v>72</v>
      </c>
      <c r="I61" s="8" t="str">
        <f>HYPERLINK("https://ca.linkedin.com/in/fredlalonde","linkedin.com/in/fredlalonde")</f>
        <v>linkedin.com/in/fredlalonde</v>
      </c>
      <c r="J61" s="6" t="s">
        <v>421</v>
      </c>
      <c r="K61" s="6" t="s">
        <v>422</v>
      </c>
      <c r="L61" s="9" t="s">
        <v>25</v>
      </c>
      <c r="M61" s="6" t="s">
        <v>423</v>
      </c>
    </row>
    <row r="62" ht="36" customHeight="1">
      <c r="A62" s="4">
        <v>59</v>
      </c>
      <c r="B62" s="5" t="s">
        <v>15</v>
      </c>
      <c r="C62" s="14" t="s">
        <v>368</v>
      </c>
      <c r="D62" s="7" t="s">
        <v>424</v>
      </c>
      <c r="E62" s="6" t="s">
        <v>425</v>
      </c>
      <c r="F62" s="6" t="s">
        <v>426</v>
      </c>
      <c r="G62" s="6" t="s">
        <v>406</v>
      </c>
      <c r="H62" s="6" t="s">
        <v>72</v>
      </c>
      <c r="I62" s="8" t="str">
        <f>HYPERLINK("https://ca.linkedin.com/in/louis-tetu-29a1167","linkedin.com/in/louis-tetu")</f>
        <v>linkedin.com/in/louis-tetu</v>
      </c>
      <c r="J62" s="6" t="s">
        <v>428</v>
      </c>
      <c r="K62" s="6" t="s">
        <v>429</v>
      </c>
      <c r="L62" s="9" t="s">
        <v>25</v>
      </c>
      <c r="M62" s="6" t="s">
        <v>430</v>
      </c>
    </row>
    <row r="63" ht="36" customHeight="1">
      <c r="A63" s="4">
        <v>60</v>
      </c>
      <c r="B63" s="5" t="s">
        <v>15</v>
      </c>
      <c r="C63" s="14" t="s">
        <v>368</v>
      </c>
      <c r="D63" s="7" t="s">
        <v>431</v>
      </c>
      <c r="E63" s="6" t="s">
        <v>432</v>
      </c>
      <c r="F63" s="6" t="s">
        <v>433</v>
      </c>
      <c r="G63" s="6" t="s">
        <v>219</v>
      </c>
      <c r="H63" s="6" t="s">
        <v>72</v>
      </c>
      <c r="I63" s="8" t="str">
        <f>HYPERLINK("https://ca.linkedin.com/in/alexandretaillefer","linkedin.com/in/alexandretaillefer")</f>
        <v>linkedin.com/in/alexandretaillefer</v>
      </c>
      <c r="J63" s="6" t="s">
        <v>435</v>
      </c>
      <c r="K63" s="6" t="s">
        <v>436</v>
      </c>
      <c r="L63" s="9" t="s">
        <v>25</v>
      </c>
      <c r="M63" s="6" t="s">
        <v>437</v>
      </c>
    </row>
    <row r="64" ht="36" customHeight="1">
      <c r="A64" s="4">
        <v>61</v>
      </c>
      <c r="B64" s="11" t="s">
        <v>69</v>
      </c>
      <c r="C64" s="14" t="s">
        <v>368</v>
      </c>
      <c r="D64" s="7" t="s">
        <v>438</v>
      </c>
      <c r="E64" s="6" t="s">
        <v>439</v>
      </c>
      <c r="F64" s="6" t="s">
        <v>440</v>
      </c>
      <c r="G64" s="6" t="s">
        <v>441</v>
      </c>
      <c r="H64" s="6" t="s">
        <v>72</v>
      </c>
      <c r="I64" s="6" t="s">
        <v>227</v>
      </c>
      <c r="J64" s="6" t="s">
        <v>228</v>
      </c>
      <c r="K64" s="6" t="s">
        <v>442</v>
      </c>
      <c r="L64" s="9" t="s">
        <v>25</v>
      </c>
      <c r="M64" s="6" t="s">
        <v>443</v>
      </c>
    </row>
    <row r="65" ht="36" customHeight="1">
      <c r="A65" s="4">
        <v>62</v>
      </c>
      <c r="B65" s="11" t="s">
        <v>69</v>
      </c>
      <c r="C65" s="14" t="s">
        <v>368</v>
      </c>
      <c r="D65" s="7" t="s">
        <v>444</v>
      </c>
      <c r="E65" s="6" t="s">
        <v>445</v>
      </c>
      <c r="F65" s="6" t="s">
        <v>446</v>
      </c>
      <c r="G65" s="6" t="s">
        <v>261</v>
      </c>
      <c r="H65" s="6" t="s">
        <v>72</v>
      </c>
      <c r="I65" s="6" t="s">
        <v>447</v>
      </c>
      <c r="J65" s="6" t="s">
        <v>79</v>
      </c>
      <c r="K65" s="6" t="s">
        <v>448</v>
      </c>
      <c r="L65" s="10" t="s">
        <v>44</v>
      </c>
      <c r="M65" s="6" t="s">
        <v>449</v>
      </c>
    </row>
    <row r="66" ht="36" customHeight="1">
      <c r="A66" s="4">
        <v>63</v>
      </c>
      <c r="B66" s="11" t="s">
        <v>69</v>
      </c>
      <c r="C66" s="14" t="s">
        <v>368</v>
      </c>
      <c r="D66" s="7" t="s">
        <v>450</v>
      </c>
      <c r="E66" s="6" t="s">
        <v>451</v>
      </c>
      <c r="F66" s="6" t="s">
        <v>452</v>
      </c>
      <c r="G66" s="6" t="s">
        <v>261</v>
      </c>
      <c r="H66" s="6" t="s">
        <v>72</v>
      </c>
      <c r="I66" s="6" t="s">
        <v>453</v>
      </c>
      <c r="J66" s="6" t="s">
        <v>79</v>
      </c>
      <c r="K66" s="6" t="s">
        <v>454</v>
      </c>
      <c r="L66" s="10" t="s">
        <v>44</v>
      </c>
      <c r="M66" s="6" t="s">
        <v>455</v>
      </c>
    </row>
    <row r="67" ht="36" customHeight="1">
      <c r="A67" s="4">
        <v>64</v>
      </c>
      <c r="B67" s="11" t="s">
        <v>69</v>
      </c>
      <c r="C67" s="14" t="s">
        <v>368</v>
      </c>
      <c r="D67" s="7" t="s">
        <v>456</v>
      </c>
      <c r="E67" s="6" t="s">
        <v>28</v>
      </c>
      <c r="F67" s="6" t="s">
        <v>272</v>
      </c>
      <c r="G67" s="6" t="s">
        <v>273</v>
      </c>
      <c r="H67" s="6" t="s">
        <v>72</v>
      </c>
      <c r="I67" s="8" t="str">
        <f t="shared" si="1"/>
        <v>linkedin.com/in/shaynecoplan</v>
      </c>
      <c r="J67" s="6" t="s">
        <v>275</v>
      </c>
      <c r="K67" s="6" t="s">
        <v>276</v>
      </c>
      <c r="L67" s="9" t="s">
        <v>25</v>
      </c>
      <c r="M67" s="6" t="s">
        <v>457</v>
      </c>
    </row>
    <row r="68" ht="36" customHeight="1">
      <c r="A68" s="4">
        <v>65</v>
      </c>
      <c r="B68" s="11" t="s">
        <v>69</v>
      </c>
      <c r="C68" s="14" t="s">
        <v>368</v>
      </c>
      <c r="D68" s="7" t="s">
        <v>458</v>
      </c>
      <c r="E68" s="6" t="s">
        <v>459</v>
      </c>
      <c r="F68" s="6" t="s">
        <v>460</v>
      </c>
      <c r="G68" s="6" t="s">
        <v>461</v>
      </c>
      <c r="H68" s="6" t="s">
        <v>72</v>
      </c>
      <c r="I68" s="8" t="str">
        <f>HYPERLINK("https://www.linkedin.com/in/jason--robins","linkedin.com/in/jason--robins")</f>
        <v>linkedin.com/in/jason--robins</v>
      </c>
      <c r="J68" s="6" t="s">
        <v>463</v>
      </c>
      <c r="K68" s="6" t="s">
        <v>464</v>
      </c>
      <c r="L68" s="9" t="s">
        <v>25</v>
      </c>
      <c r="M68" s="6" t="s">
        <v>465</v>
      </c>
    </row>
    <row r="69" ht="36" customHeight="1">
      <c r="A69" s="4">
        <v>66</v>
      </c>
      <c r="B69" s="11" t="s">
        <v>69</v>
      </c>
      <c r="C69" s="14" t="s">
        <v>368</v>
      </c>
      <c r="D69" s="7" t="s">
        <v>466</v>
      </c>
      <c r="E69" s="6" t="s">
        <v>18</v>
      </c>
      <c r="F69" s="6" t="s">
        <v>340</v>
      </c>
      <c r="G69" s="6" t="s">
        <v>467</v>
      </c>
      <c r="H69" s="6" t="s">
        <v>72</v>
      </c>
      <c r="I69" s="8" t="str">
        <f t="shared" si="2"/>
        <v>linkedin.com/in/ernie-garcia</v>
      </c>
      <c r="J69" s="6" t="s">
        <v>94</v>
      </c>
      <c r="K69" s="6" t="s">
        <v>343</v>
      </c>
      <c r="L69" s="9" t="s">
        <v>25</v>
      </c>
      <c r="M69" s="6" t="s">
        <v>468</v>
      </c>
    </row>
    <row r="70" ht="36" customHeight="1">
      <c r="A70" s="4">
        <v>67</v>
      </c>
      <c r="B70" s="11" t="s">
        <v>69</v>
      </c>
      <c r="C70" s="14" t="s">
        <v>368</v>
      </c>
      <c r="D70" s="7" t="s">
        <v>469</v>
      </c>
      <c r="E70" s="6" t="s">
        <v>470</v>
      </c>
      <c r="F70" s="6" t="s">
        <v>471</v>
      </c>
      <c r="G70" s="6" t="s">
        <v>472</v>
      </c>
      <c r="H70" s="6" t="s">
        <v>72</v>
      </c>
      <c r="I70" s="6" t="s">
        <v>473</v>
      </c>
      <c r="J70" s="6" t="s">
        <v>79</v>
      </c>
      <c r="K70" s="6" t="s">
        <v>474</v>
      </c>
      <c r="L70" s="10" t="s">
        <v>44</v>
      </c>
      <c r="M70" s="6" t="s">
        <v>475</v>
      </c>
    </row>
    <row r="71" ht="36" customHeight="1">
      <c r="A71" s="4">
        <v>68</v>
      </c>
      <c r="B71" s="11" t="s">
        <v>69</v>
      </c>
      <c r="C71" s="14" t="s">
        <v>368</v>
      </c>
      <c r="D71" s="7" t="s">
        <v>476</v>
      </c>
      <c r="E71" s="6" t="s">
        <v>18</v>
      </c>
      <c r="F71" s="6" t="s">
        <v>477</v>
      </c>
      <c r="G71" s="6" t="s">
        <v>478</v>
      </c>
      <c r="H71" s="6" t="s">
        <v>72</v>
      </c>
      <c r="I71" s="8" t="str">
        <f>HYPERLINK("https://www.linkedin.com/in/winston-weinberg","linkedin.com/in/winston-weinberg")</f>
        <v>linkedin.com/in/winston-weinberg</v>
      </c>
      <c r="J71" s="6" t="s">
        <v>480</v>
      </c>
      <c r="K71" s="6" t="s">
        <v>481</v>
      </c>
      <c r="L71" s="9" t="s">
        <v>25</v>
      </c>
      <c r="M71" s="6" t="s">
        <v>482</v>
      </c>
    </row>
    <row r="72" ht="36" customHeight="1">
      <c r="A72" s="4">
        <v>69</v>
      </c>
      <c r="B72" s="11" t="s">
        <v>69</v>
      </c>
      <c r="C72" s="14" t="s">
        <v>368</v>
      </c>
      <c r="D72" s="7" t="s">
        <v>483</v>
      </c>
      <c r="E72" s="6" t="s">
        <v>18</v>
      </c>
      <c r="F72" s="6" t="s">
        <v>484</v>
      </c>
      <c r="G72" s="6" t="s">
        <v>478</v>
      </c>
      <c r="H72" s="6" t="s">
        <v>72</v>
      </c>
      <c r="I72" s="8" t="str">
        <f>HYPERLINK("https://www.linkedin.com/in/rutvik-rau","linkedin.com/in/rutvik-rau")</f>
        <v>linkedin.com/in/rutvik-rau</v>
      </c>
      <c r="J72" s="6" t="s">
        <v>79</v>
      </c>
      <c r="K72" s="6" t="s">
        <v>486</v>
      </c>
      <c r="L72" s="9" t="s">
        <v>25</v>
      </c>
      <c r="M72" s="6" t="s">
        <v>487</v>
      </c>
    </row>
    <row r="73" ht="36" customHeight="1">
      <c r="A73" s="4">
        <v>70</v>
      </c>
      <c r="B73" s="11" t="s">
        <v>69</v>
      </c>
      <c r="C73" s="14" t="s">
        <v>368</v>
      </c>
      <c r="D73" s="7" t="s">
        <v>488</v>
      </c>
      <c r="E73" s="6" t="s">
        <v>28</v>
      </c>
      <c r="F73" s="6" t="s">
        <v>489</v>
      </c>
      <c r="G73" s="6" t="s">
        <v>478</v>
      </c>
      <c r="H73" s="6" t="s">
        <v>72</v>
      </c>
      <c r="I73" s="6" t="s">
        <v>490</v>
      </c>
      <c r="J73" s="6" t="s">
        <v>79</v>
      </c>
      <c r="K73" s="6" t="s">
        <v>491</v>
      </c>
      <c r="L73" s="10" t="s">
        <v>44</v>
      </c>
      <c r="M73" s="6" t="s">
        <v>492</v>
      </c>
    </row>
    <row r="74" ht="36" customHeight="1">
      <c r="A74" s="4">
        <v>71</v>
      </c>
      <c r="B74" s="11" t="s">
        <v>69</v>
      </c>
      <c r="C74" s="14" t="s">
        <v>368</v>
      </c>
      <c r="D74" s="7" t="s">
        <v>493</v>
      </c>
      <c r="E74" s="6" t="s">
        <v>28</v>
      </c>
      <c r="F74" s="6" t="s">
        <v>494</v>
      </c>
      <c r="G74" s="6" t="s">
        <v>478</v>
      </c>
      <c r="H74" s="6" t="s">
        <v>72</v>
      </c>
      <c r="I74" s="6" t="s">
        <v>495</v>
      </c>
      <c r="J74" s="6" t="s">
        <v>79</v>
      </c>
      <c r="K74" s="6" t="s">
        <v>496</v>
      </c>
      <c r="L74" s="10" t="s">
        <v>44</v>
      </c>
      <c r="M74" s="6" t="s">
        <v>497</v>
      </c>
    </row>
    <row r="75" ht="36" customHeight="1">
      <c r="A75" s="4">
        <v>72</v>
      </c>
      <c r="B75" s="11" t="s">
        <v>69</v>
      </c>
      <c r="C75" s="14" t="s">
        <v>368</v>
      </c>
      <c r="D75" s="7" t="s">
        <v>498</v>
      </c>
      <c r="E75" s="6" t="s">
        <v>499</v>
      </c>
      <c r="F75" s="6" t="s">
        <v>500</v>
      </c>
      <c r="G75" s="6" t="s">
        <v>501</v>
      </c>
      <c r="H75" s="6" t="s">
        <v>72</v>
      </c>
      <c r="I75" s="8" t="str">
        <f>HYPERLINK("https://es.linkedin.com/in/alexbenlloch","linkedin.com/in/alexbenlloch")</f>
        <v>linkedin.com/in/alexbenlloch</v>
      </c>
      <c r="J75" s="6" t="s">
        <v>503</v>
      </c>
      <c r="K75" s="6" t="s">
        <v>504</v>
      </c>
      <c r="L75" s="9" t="s">
        <v>25</v>
      </c>
      <c r="M75" s="6" t="s">
        <v>505</v>
      </c>
    </row>
    <row r="76" ht="36" customHeight="1">
      <c r="A76" s="4">
        <v>73</v>
      </c>
      <c r="B76" s="11" t="s">
        <v>69</v>
      </c>
      <c r="C76" s="14" t="s">
        <v>368</v>
      </c>
      <c r="D76" s="7" t="s">
        <v>506</v>
      </c>
      <c r="E76" s="6" t="s">
        <v>507</v>
      </c>
      <c r="F76" s="6" t="s">
        <v>508</v>
      </c>
      <c r="G76" s="6" t="s">
        <v>501</v>
      </c>
      <c r="H76" s="6" t="s">
        <v>72</v>
      </c>
      <c r="I76" s="6" t="s">
        <v>509</v>
      </c>
      <c r="J76" s="6" t="s">
        <v>510</v>
      </c>
      <c r="K76" s="6" t="s">
        <v>511</v>
      </c>
      <c r="L76" s="10" t="s">
        <v>44</v>
      </c>
      <c r="M76" s="6" t="s">
        <v>512</v>
      </c>
    </row>
    <row r="77" ht="36" customHeight="1">
      <c r="A77" s="4">
        <v>74</v>
      </c>
      <c r="B77" s="11" t="s">
        <v>69</v>
      </c>
      <c r="C77" s="14" t="s">
        <v>368</v>
      </c>
      <c r="D77" s="7" t="s">
        <v>513</v>
      </c>
      <c r="E77" s="6" t="s">
        <v>18</v>
      </c>
      <c r="F77" s="6" t="s">
        <v>514</v>
      </c>
      <c r="G77" s="6" t="s">
        <v>515</v>
      </c>
      <c r="H77" s="6" t="s">
        <v>72</v>
      </c>
      <c r="I77" s="8" t="str">
        <f>HYPERLINK("https://uk.linkedin.com/in/ignacio-bachiller-ströhlein-b1024148","linkedin.com/in/ignacio-bachiller-strohlein")</f>
        <v>linkedin.com/in/ignacio-bachiller-strohlein</v>
      </c>
      <c r="J77" s="6" t="s">
        <v>79</v>
      </c>
      <c r="K77" s="6" t="s">
        <v>517</v>
      </c>
      <c r="L77" s="9" t="s">
        <v>25</v>
      </c>
      <c r="M77" s="6" t="s">
        <v>518</v>
      </c>
    </row>
    <row r="78" ht="36" customHeight="1">
      <c r="A78" s="4">
        <v>75</v>
      </c>
      <c r="B78" s="11" t="s">
        <v>69</v>
      </c>
      <c r="C78" s="14" t="s">
        <v>368</v>
      </c>
      <c r="D78" s="7" t="s">
        <v>519</v>
      </c>
      <c r="E78" s="6" t="s">
        <v>333</v>
      </c>
      <c r="F78" s="6" t="s">
        <v>520</v>
      </c>
      <c r="G78" s="6" t="s">
        <v>521</v>
      </c>
      <c r="H78" s="6" t="s">
        <v>72</v>
      </c>
      <c r="I78" s="6" t="s">
        <v>522</v>
      </c>
      <c r="J78" s="6" t="s">
        <v>79</v>
      </c>
      <c r="K78" s="6" t="s">
        <v>337</v>
      </c>
      <c r="L78" s="12" t="s">
        <v>81</v>
      </c>
      <c r="M78" s="6" t="s">
        <v>523</v>
      </c>
    </row>
    <row r="79" ht="36" customHeight="1">
      <c r="A79" s="4">
        <v>76</v>
      </c>
      <c r="B79" s="13" t="s">
        <v>145</v>
      </c>
      <c r="C79" s="14" t="s">
        <v>368</v>
      </c>
      <c r="D79" s="7" t="s">
        <v>524</v>
      </c>
      <c r="E79" s="6" t="s">
        <v>525</v>
      </c>
      <c r="F79" s="6" t="s">
        <v>526</v>
      </c>
      <c r="G79" s="6" t="s">
        <v>527</v>
      </c>
      <c r="H79" s="6" t="s">
        <v>72</v>
      </c>
      <c r="I79" s="8" t="str">
        <f>HYPERLINK("https://www.linkedin.com/in/ashtom","linkedin.com/in/ashtom")</f>
        <v>linkedin.com/in/ashtom</v>
      </c>
      <c r="J79" s="6" t="s">
        <v>529</v>
      </c>
      <c r="K79" s="6" t="s">
        <v>530</v>
      </c>
      <c r="L79" s="9" t="s">
        <v>25</v>
      </c>
      <c r="M79" s="6" t="s">
        <v>531</v>
      </c>
    </row>
    <row r="80" ht="36" customHeight="1">
      <c r="A80" s="4">
        <v>77</v>
      </c>
      <c r="B80" s="13" t="s">
        <v>145</v>
      </c>
      <c r="C80" s="14" t="s">
        <v>368</v>
      </c>
      <c r="D80" s="7" t="s">
        <v>532</v>
      </c>
      <c r="E80" s="6" t="s">
        <v>18</v>
      </c>
      <c r="F80" s="6" t="s">
        <v>533</v>
      </c>
      <c r="G80" s="6" t="s">
        <v>234</v>
      </c>
      <c r="H80" s="6" t="s">
        <v>72</v>
      </c>
      <c r="I80" s="8" t="str">
        <f>HYPERLINK("https://www.linkedin.com/in/wadefoster","linkedin.com/in/wadefoster")</f>
        <v>linkedin.com/in/wadefoster</v>
      </c>
      <c r="J80" s="6" t="s">
        <v>535</v>
      </c>
      <c r="K80" s="6" t="s">
        <v>536</v>
      </c>
      <c r="L80" s="9" t="s">
        <v>25</v>
      </c>
      <c r="M80" s="6" t="s">
        <v>537</v>
      </c>
    </row>
    <row r="81" ht="36" customHeight="1">
      <c r="A81" s="4">
        <v>78</v>
      </c>
      <c r="B81" s="13" t="s">
        <v>145</v>
      </c>
      <c r="C81" s="14" t="s">
        <v>368</v>
      </c>
      <c r="D81" s="7" t="s">
        <v>538</v>
      </c>
      <c r="E81" s="6" t="s">
        <v>539</v>
      </c>
      <c r="F81" s="6" t="s">
        <v>540</v>
      </c>
      <c r="G81" s="6" t="s">
        <v>234</v>
      </c>
      <c r="H81" s="6" t="s">
        <v>72</v>
      </c>
      <c r="I81" s="8" t="str">
        <f>HYPERLINK("https://www.linkedin.com/in/rajiv-ayyangar","linkedin.com/in/rajiv-ayyangar")</f>
        <v>linkedin.com/in/rajiv-ayyangar</v>
      </c>
      <c r="J81" s="6" t="s">
        <v>542</v>
      </c>
      <c r="K81" s="6" t="s">
        <v>543</v>
      </c>
      <c r="L81" s="9" t="s">
        <v>25</v>
      </c>
      <c r="M81" s="6" t="s">
        <v>544</v>
      </c>
    </row>
    <row r="82" ht="36" customHeight="1">
      <c r="A82" s="4">
        <v>79</v>
      </c>
      <c r="B82" s="13" t="s">
        <v>145</v>
      </c>
      <c r="C82" s="14" t="s">
        <v>368</v>
      </c>
      <c r="D82" s="7" t="s">
        <v>545</v>
      </c>
      <c r="E82" s="6" t="s">
        <v>28</v>
      </c>
      <c r="F82" s="6" t="s">
        <v>546</v>
      </c>
      <c r="G82" s="6" t="s">
        <v>547</v>
      </c>
      <c r="H82" s="6" t="s">
        <v>72</v>
      </c>
      <c r="I82" s="8" t="str">
        <f>HYPERLINK("https://uk.linkedin.com/in/toran-richards","linkedin.com/in/toran-richards")</f>
        <v>linkedin.com/in/toran-richards</v>
      </c>
      <c r="J82" s="6" t="s">
        <v>549</v>
      </c>
      <c r="K82" s="6" t="s">
        <v>550</v>
      </c>
      <c r="L82" s="9" t="s">
        <v>25</v>
      </c>
      <c r="M82" s="6" t="s">
        <v>551</v>
      </c>
    </row>
    <row r="83" ht="36" customHeight="1">
      <c r="A83" s="4">
        <v>80</v>
      </c>
      <c r="B83" s="13" t="s">
        <v>145</v>
      </c>
      <c r="C83" s="14" t="s">
        <v>368</v>
      </c>
      <c r="D83" s="7" t="s">
        <v>552</v>
      </c>
      <c r="E83" s="6" t="s">
        <v>28</v>
      </c>
      <c r="F83" s="6" t="s">
        <v>553</v>
      </c>
      <c r="G83" s="6" t="s">
        <v>234</v>
      </c>
      <c r="H83" s="6" t="s">
        <v>72</v>
      </c>
      <c r="I83" s="8" t="str">
        <f>HYPERLINK("https://www.linkedin.com/in/joaomdmoura","linkedin.com/in/joaomdmoura")</f>
        <v>linkedin.com/in/joaomdmoura</v>
      </c>
      <c r="J83" s="6" t="s">
        <v>555</v>
      </c>
      <c r="K83" s="6" t="s">
        <v>556</v>
      </c>
      <c r="L83" s="9" t="s">
        <v>25</v>
      </c>
      <c r="M83" s="6" t="s">
        <v>557</v>
      </c>
    </row>
    <row r="84" ht="36" customHeight="1">
      <c r="A84" s="4">
        <v>81</v>
      </c>
      <c r="B84" s="13" t="s">
        <v>145</v>
      </c>
      <c r="C84" s="14" t="s">
        <v>368</v>
      </c>
      <c r="D84" s="7" t="s">
        <v>558</v>
      </c>
      <c r="E84" s="6" t="s">
        <v>18</v>
      </c>
      <c r="F84" s="6" t="s">
        <v>559</v>
      </c>
      <c r="G84" s="6" t="s">
        <v>234</v>
      </c>
      <c r="H84" s="6" t="s">
        <v>72</v>
      </c>
      <c r="I84" s="8" t="str">
        <f>HYPERLINK("https://se.linkedin.com/in/antonosika","linkedin.com/in/antonosika")</f>
        <v>linkedin.com/in/antonosika</v>
      </c>
      <c r="J84" s="6" t="s">
        <v>561</v>
      </c>
      <c r="K84" s="6" t="s">
        <v>562</v>
      </c>
      <c r="L84" s="9" t="s">
        <v>25</v>
      </c>
      <c r="M84" s="6" t="s">
        <v>563</v>
      </c>
    </row>
    <row r="85" ht="36" customHeight="1">
      <c r="A85" s="4">
        <v>82</v>
      </c>
      <c r="B85" s="13" t="s">
        <v>145</v>
      </c>
      <c r="C85" s="14" t="s">
        <v>368</v>
      </c>
      <c r="D85" s="7" t="s">
        <v>564</v>
      </c>
      <c r="E85" s="6" t="s">
        <v>18</v>
      </c>
      <c r="F85" s="6" t="s">
        <v>565</v>
      </c>
      <c r="G85" s="6" t="s">
        <v>234</v>
      </c>
      <c r="H85" s="6" t="s">
        <v>72</v>
      </c>
      <c r="I85" s="8" t="str">
        <f>HYPERLINK("https://www.linkedin.com/in/iakhund","linkedin.com/in/iakhund")</f>
        <v>linkedin.com/in/iakhund</v>
      </c>
      <c r="J85" s="6" t="s">
        <v>567</v>
      </c>
      <c r="K85" s="6" t="s">
        <v>568</v>
      </c>
      <c r="L85" s="9" t="s">
        <v>25</v>
      </c>
      <c r="M85" s="6" t="s">
        <v>569</v>
      </c>
    </row>
    <row r="86" ht="36" customHeight="1">
      <c r="A86" s="4">
        <v>83</v>
      </c>
      <c r="B86" s="13" t="s">
        <v>145</v>
      </c>
      <c r="C86" s="14" t="s">
        <v>368</v>
      </c>
      <c r="D86" s="7" t="s">
        <v>570</v>
      </c>
      <c r="E86" s="6" t="s">
        <v>571</v>
      </c>
      <c r="F86" s="6" t="s">
        <v>572</v>
      </c>
      <c r="G86" s="6" t="s">
        <v>234</v>
      </c>
      <c r="H86" s="6" t="s">
        <v>72</v>
      </c>
      <c r="I86" s="8" t="str">
        <f>HYPERLINK("https://www.linkedin.com/in/sahillavingia","linkedin.com/in/sahillavingia")</f>
        <v>linkedin.com/in/sahillavingia</v>
      </c>
      <c r="J86" s="6" t="s">
        <v>574</v>
      </c>
      <c r="K86" s="6" t="s">
        <v>575</v>
      </c>
      <c r="L86" s="9" t="s">
        <v>25</v>
      </c>
      <c r="M86" s="6" t="s">
        <v>576</v>
      </c>
    </row>
    <row r="87" ht="36" customHeight="1">
      <c r="A87" s="4">
        <v>84</v>
      </c>
      <c r="B87" s="13" t="s">
        <v>145</v>
      </c>
      <c r="C87" s="14" t="s">
        <v>368</v>
      </c>
      <c r="D87" s="7" t="s">
        <v>577</v>
      </c>
      <c r="E87" s="6" t="s">
        <v>578</v>
      </c>
      <c r="F87" s="6" t="s">
        <v>579</v>
      </c>
      <c r="G87" s="6" t="s">
        <v>234</v>
      </c>
      <c r="H87" s="6" t="s">
        <v>72</v>
      </c>
      <c r="I87" s="6" t="s">
        <v>580</v>
      </c>
      <c r="J87" s="6" t="s">
        <v>581</v>
      </c>
      <c r="K87" s="6" t="s">
        <v>582</v>
      </c>
      <c r="L87" s="9" t="s">
        <v>25</v>
      </c>
      <c r="M87" s="6" t="s">
        <v>583</v>
      </c>
    </row>
    <row r="88" ht="36" customHeight="1">
      <c r="A88" s="4">
        <v>85</v>
      </c>
      <c r="B88" s="13" t="s">
        <v>145</v>
      </c>
      <c r="C88" s="14" t="s">
        <v>368</v>
      </c>
      <c r="D88" s="7" t="s">
        <v>584</v>
      </c>
      <c r="E88" s="6" t="s">
        <v>585</v>
      </c>
      <c r="F88" s="6" t="s">
        <v>586</v>
      </c>
      <c r="G88" s="6" t="s">
        <v>234</v>
      </c>
      <c r="H88" s="6" t="s">
        <v>72</v>
      </c>
      <c r="I88" s="8" t="str">
        <f>HYPERLINK("https://www.linkedin.com/in/marclouvion","linkedin.com/in/marclouvion")</f>
        <v>linkedin.com/in/marclouvion</v>
      </c>
      <c r="J88" s="6" t="s">
        <v>588</v>
      </c>
      <c r="K88" s="6" t="s">
        <v>589</v>
      </c>
      <c r="L88" s="9" t="s">
        <v>25</v>
      </c>
      <c r="M88" s="6" t="s">
        <v>590</v>
      </c>
    </row>
    <row r="89" ht="36" customHeight="1">
      <c r="A89" s="4">
        <v>86</v>
      </c>
      <c r="B89" s="13" t="s">
        <v>145</v>
      </c>
      <c r="C89" s="14" t="s">
        <v>368</v>
      </c>
      <c r="D89" s="7" t="s">
        <v>591</v>
      </c>
      <c r="E89" s="6" t="s">
        <v>592</v>
      </c>
      <c r="F89" s="6" t="s">
        <v>593</v>
      </c>
      <c r="G89" s="6" t="s">
        <v>234</v>
      </c>
      <c r="H89" s="6" t="s">
        <v>72</v>
      </c>
      <c r="I89" s="6" t="s">
        <v>594</v>
      </c>
      <c r="J89" s="6" t="s">
        <v>595</v>
      </c>
      <c r="K89" s="6" t="s">
        <v>596</v>
      </c>
      <c r="L89" s="10" t="s">
        <v>44</v>
      </c>
      <c r="M89" s="6" t="s">
        <v>597</v>
      </c>
    </row>
    <row r="90" ht="36" customHeight="1">
      <c r="A90" s="4">
        <v>87</v>
      </c>
      <c r="B90" s="13" t="s">
        <v>145</v>
      </c>
      <c r="C90" s="14" t="s">
        <v>368</v>
      </c>
      <c r="D90" s="7" t="s">
        <v>598</v>
      </c>
      <c r="E90" s="6" t="s">
        <v>599</v>
      </c>
      <c r="F90" s="6" t="s">
        <v>600</v>
      </c>
      <c r="G90" s="6" t="s">
        <v>234</v>
      </c>
      <c r="H90" s="6" t="s">
        <v>72</v>
      </c>
      <c r="I90" s="8" t="str">
        <f>HYPERLINK("https://www.linkedin.com/in/dinhtony","linkedin.com/in/dinhtony")</f>
        <v>linkedin.com/in/dinhtony</v>
      </c>
      <c r="J90" s="6" t="s">
        <v>602</v>
      </c>
      <c r="K90" s="6" t="s">
        <v>603</v>
      </c>
      <c r="L90" s="9" t="s">
        <v>25</v>
      </c>
      <c r="M90" s="6" t="s">
        <v>604</v>
      </c>
    </row>
    <row r="91" ht="36" customHeight="1">
      <c r="A91" s="4">
        <v>88</v>
      </c>
      <c r="B91" s="13" t="s">
        <v>145</v>
      </c>
      <c r="C91" s="14" t="s">
        <v>368</v>
      </c>
      <c r="D91" s="7" t="s">
        <v>605</v>
      </c>
      <c r="E91" s="6" t="s">
        <v>606</v>
      </c>
      <c r="F91" s="6" t="s">
        <v>607</v>
      </c>
      <c r="G91" s="6" t="s">
        <v>234</v>
      </c>
      <c r="H91" s="6" t="s">
        <v>72</v>
      </c>
      <c r="I91" s="8" t="str">
        <f>HYPERLINK("https://www.linkedin.com/in/retentionadam","linkedin.com/in/retentionadam")</f>
        <v>linkedin.com/in/retentionadam</v>
      </c>
      <c r="J91" s="6" t="s">
        <v>609</v>
      </c>
      <c r="K91" s="6" t="s">
        <v>610</v>
      </c>
      <c r="L91" s="9" t="s">
        <v>25</v>
      </c>
      <c r="M91" s="6" t="s">
        <v>611</v>
      </c>
    </row>
    <row r="92" ht="36" customHeight="1">
      <c r="A92" s="4">
        <v>89</v>
      </c>
      <c r="B92" s="13" t="s">
        <v>145</v>
      </c>
      <c r="C92" s="14" t="s">
        <v>368</v>
      </c>
      <c r="D92" s="7" t="s">
        <v>612</v>
      </c>
      <c r="E92" s="6" t="s">
        <v>28</v>
      </c>
      <c r="F92" s="6" t="s">
        <v>613</v>
      </c>
      <c r="G92" s="6" t="s">
        <v>614</v>
      </c>
      <c r="H92" s="6" t="s">
        <v>72</v>
      </c>
      <c r="I92" s="8" t="str">
        <f>HYPERLINK("https://www.linkedin.com/in/nathanbarry","linkedin.com/in/nathanbarry")</f>
        <v>linkedin.com/in/nathanbarry</v>
      </c>
      <c r="J92" s="6" t="s">
        <v>616</v>
      </c>
      <c r="K92" s="6" t="s">
        <v>617</v>
      </c>
      <c r="L92" s="9" t="s">
        <v>25</v>
      </c>
      <c r="M92" s="6" t="s">
        <v>618</v>
      </c>
    </row>
    <row r="93" ht="36" customHeight="1">
      <c r="A93" s="4">
        <v>90</v>
      </c>
      <c r="B93" s="13" t="s">
        <v>145</v>
      </c>
      <c r="C93" s="14" t="s">
        <v>368</v>
      </c>
      <c r="D93" s="7" t="s">
        <v>619</v>
      </c>
      <c r="E93" s="6" t="s">
        <v>620</v>
      </c>
      <c r="F93" s="6" t="s">
        <v>621</v>
      </c>
      <c r="G93" s="6" t="s">
        <v>234</v>
      </c>
      <c r="H93" s="6" t="s">
        <v>72</v>
      </c>
      <c r="I93" s="8" t="str">
        <f>HYPERLINK("https://ca.linkedin.com/in/awilkinson","linkedin.com/in/awilkinson")</f>
        <v>linkedin.com/in/awilkinson</v>
      </c>
      <c r="J93" s="6" t="s">
        <v>623</v>
      </c>
      <c r="K93" s="6" t="s">
        <v>624</v>
      </c>
      <c r="L93" s="9" t="s">
        <v>25</v>
      </c>
      <c r="M93" s="6" t="s">
        <v>625</v>
      </c>
    </row>
    <row r="94" ht="36" customHeight="1">
      <c r="A94" s="4">
        <v>91</v>
      </c>
      <c r="B94" s="13" t="s">
        <v>145</v>
      </c>
      <c r="C94" s="14" t="s">
        <v>368</v>
      </c>
      <c r="D94" s="7" t="s">
        <v>626</v>
      </c>
      <c r="E94" s="6" t="s">
        <v>18</v>
      </c>
      <c r="F94" s="6" t="s">
        <v>627</v>
      </c>
      <c r="G94" s="6" t="s">
        <v>628</v>
      </c>
      <c r="H94" s="6" t="s">
        <v>72</v>
      </c>
      <c r="I94" s="8" t="str">
        <f>HYPERLINK("https://www.linkedin.com/in/jason-lopatecki-9509941","linkedin.com/in/jason-lopatecki")</f>
        <v>linkedin.com/in/jason-lopatecki</v>
      </c>
      <c r="J94" s="6" t="s">
        <v>630</v>
      </c>
      <c r="K94" s="6" t="s">
        <v>631</v>
      </c>
      <c r="L94" s="9" t="s">
        <v>25</v>
      </c>
      <c r="M94" s="6" t="s">
        <v>632</v>
      </c>
    </row>
    <row r="95" ht="36" customHeight="1">
      <c r="A95" s="4">
        <v>92</v>
      </c>
      <c r="B95" s="13" t="s">
        <v>145</v>
      </c>
      <c r="C95" s="14" t="s">
        <v>368</v>
      </c>
      <c r="D95" s="7" t="s">
        <v>633</v>
      </c>
      <c r="E95" s="6" t="s">
        <v>634</v>
      </c>
      <c r="F95" s="6" t="s">
        <v>635</v>
      </c>
      <c r="G95" s="6" t="s">
        <v>636</v>
      </c>
      <c r="H95" s="6" t="s">
        <v>72</v>
      </c>
      <c r="I95" s="8" t="str">
        <f>HYPERLINK("https://www.linkedin.com/in/georgekurtz","linkedin.com/in/georgekurtz")</f>
        <v>linkedin.com/in/georgekurtz</v>
      </c>
      <c r="J95" s="6" t="s">
        <v>638</v>
      </c>
      <c r="K95" s="6" t="s">
        <v>639</v>
      </c>
      <c r="L95" s="9" t="s">
        <v>25</v>
      </c>
      <c r="M95" s="6" t="s">
        <v>640</v>
      </c>
    </row>
    <row r="96" ht="36" customHeight="1">
      <c r="A96" s="4">
        <v>93</v>
      </c>
      <c r="B96" s="13" t="s">
        <v>145</v>
      </c>
      <c r="C96" s="14" t="s">
        <v>368</v>
      </c>
      <c r="D96" s="7" t="s">
        <v>641</v>
      </c>
      <c r="E96" s="6" t="s">
        <v>246</v>
      </c>
      <c r="F96" s="6" t="s">
        <v>642</v>
      </c>
      <c r="G96" s="6" t="s">
        <v>643</v>
      </c>
      <c r="H96" s="6" t="s">
        <v>72</v>
      </c>
      <c r="I96" s="8" t="str">
        <f>HYPERLINK("https://www.linkedin.com/in/anandeswaran","linkedin.com/in/anandeswaran")</f>
        <v>linkedin.com/in/anandeswaran</v>
      </c>
      <c r="J96" s="6" t="s">
        <v>645</v>
      </c>
      <c r="K96" s="6" t="s">
        <v>646</v>
      </c>
      <c r="L96" s="9" t="s">
        <v>25</v>
      </c>
      <c r="M96" s="6" t="s">
        <v>647</v>
      </c>
    </row>
    <row r="97" ht="36" customHeight="1">
      <c r="A97" s="4">
        <v>94</v>
      </c>
      <c r="B97" s="13" t="s">
        <v>145</v>
      </c>
      <c r="C97" s="14" t="s">
        <v>368</v>
      </c>
      <c r="D97" s="7" t="s">
        <v>648</v>
      </c>
      <c r="E97" s="6" t="s">
        <v>649</v>
      </c>
      <c r="F97" s="6" t="s">
        <v>650</v>
      </c>
      <c r="G97" s="6" t="s">
        <v>651</v>
      </c>
      <c r="H97" s="6" t="s">
        <v>72</v>
      </c>
      <c r="I97" s="8" t="str">
        <f>HYPERLINK("https://www.linkedin.com/in/bipulsinha","linkedin.com/in/bipulsinha")</f>
        <v>linkedin.com/in/bipulsinha</v>
      </c>
      <c r="J97" s="6" t="s">
        <v>653</v>
      </c>
      <c r="K97" s="6" t="s">
        <v>654</v>
      </c>
      <c r="L97" s="9" t="s">
        <v>25</v>
      </c>
      <c r="M97" s="6" t="s">
        <v>655</v>
      </c>
    </row>
    <row r="98" ht="36" customHeight="1">
      <c r="A98" s="4">
        <v>95</v>
      </c>
      <c r="B98" s="13" t="s">
        <v>145</v>
      </c>
      <c r="C98" s="14" t="s">
        <v>368</v>
      </c>
      <c r="D98" s="7" t="s">
        <v>656</v>
      </c>
      <c r="E98" s="6" t="s">
        <v>657</v>
      </c>
      <c r="F98" s="6" t="s">
        <v>658</v>
      </c>
      <c r="G98" s="6" t="s">
        <v>659</v>
      </c>
      <c r="H98" s="6" t="s">
        <v>72</v>
      </c>
      <c r="I98" s="8" t="str">
        <f>HYPERLINK("https://www.linkedin.com/in/jaychaudhry","linkedin.com/in/jaychaudhry")</f>
        <v>linkedin.com/in/jaychaudhry</v>
      </c>
      <c r="J98" s="6" t="s">
        <v>661</v>
      </c>
      <c r="K98" s="6" t="s">
        <v>662</v>
      </c>
      <c r="L98" s="9" t="s">
        <v>25</v>
      </c>
      <c r="M98" s="6" t="s">
        <v>663</v>
      </c>
    </row>
    <row r="99" ht="36" customHeight="1">
      <c r="A99" s="4">
        <v>96</v>
      </c>
      <c r="B99" s="13" t="s">
        <v>145</v>
      </c>
      <c r="C99" s="14" t="s">
        <v>368</v>
      </c>
      <c r="D99" s="7" t="s">
        <v>664</v>
      </c>
      <c r="E99" s="6" t="s">
        <v>105</v>
      </c>
      <c r="F99" s="6" t="s">
        <v>665</v>
      </c>
      <c r="G99" s="6" t="s">
        <v>666</v>
      </c>
      <c r="H99" s="6" t="s">
        <v>72</v>
      </c>
      <c r="I99" s="8" t="str">
        <f>HYPERLINK("https://www.linkedin.com/in/ashanwilly","linkedin.com/in/ashanwilly")</f>
        <v>linkedin.com/in/ashanwilly</v>
      </c>
      <c r="J99" s="6" t="s">
        <v>668</v>
      </c>
      <c r="K99" s="6" t="s">
        <v>669</v>
      </c>
      <c r="L99" s="9" t="s">
        <v>25</v>
      </c>
      <c r="M99" s="6" t="s">
        <v>670</v>
      </c>
    </row>
    <row r="100" ht="36" customHeight="1">
      <c r="A100" s="4">
        <v>97</v>
      </c>
      <c r="B100" s="13" t="s">
        <v>145</v>
      </c>
      <c r="C100" s="14" t="s">
        <v>368</v>
      </c>
      <c r="D100" s="7" t="s">
        <v>671</v>
      </c>
      <c r="E100" s="6" t="s">
        <v>672</v>
      </c>
      <c r="F100" s="6" t="s">
        <v>63</v>
      </c>
      <c r="G100" s="6" t="s">
        <v>673</v>
      </c>
      <c r="H100" s="6" t="s">
        <v>72</v>
      </c>
      <c r="I100" s="6" t="s">
        <v>674</v>
      </c>
      <c r="J100" s="6" t="s">
        <v>94</v>
      </c>
      <c r="K100" s="6" t="s">
        <v>675</v>
      </c>
      <c r="L100" s="10" t="s">
        <v>44</v>
      </c>
      <c r="M100" s="6" t="s">
        <v>676</v>
      </c>
    </row>
    <row r="101" ht="36" customHeight="1">
      <c r="A101" s="4">
        <v>98</v>
      </c>
      <c r="B101" s="13" t="s">
        <v>145</v>
      </c>
      <c r="C101" s="14" t="s">
        <v>368</v>
      </c>
      <c r="D101" s="7" t="s">
        <v>677</v>
      </c>
      <c r="E101" s="6" t="s">
        <v>678</v>
      </c>
      <c r="F101" s="6" t="s">
        <v>313</v>
      </c>
      <c r="G101" s="6" t="s">
        <v>679</v>
      </c>
      <c r="H101" s="6" t="s">
        <v>72</v>
      </c>
      <c r="I101" s="6" t="s">
        <v>680</v>
      </c>
      <c r="J101" s="6" t="s">
        <v>316</v>
      </c>
      <c r="K101" s="6" t="s">
        <v>681</v>
      </c>
      <c r="L101" s="9" t="s">
        <v>25</v>
      </c>
      <c r="M101" s="6" t="s">
        <v>682</v>
      </c>
    </row>
    <row r="102" ht="36" customHeight="1">
      <c r="A102" s="4">
        <v>99</v>
      </c>
      <c r="B102" s="13" t="s">
        <v>145</v>
      </c>
      <c r="C102" s="14" t="s">
        <v>368</v>
      </c>
      <c r="D102" s="7" t="s">
        <v>683</v>
      </c>
      <c r="E102" s="6" t="s">
        <v>684</v>
      </c>
      <c r="F102" s="6" t="s">
        <v>685</v>
      </c>
      <c r="G102" s="6" t="s">
        <v>686</v>
      </c>
      <c r="H102" s="6" t="s">
        <v>72</v>
      </c>
      <c r="I102" s="8" t="str">
        <f>HYPERLINK("https://www.linkedin.com/in/andrewchen","linkedin.com/in/andrewchen")</f>
        <v>linkedin.com/in/andrewchen</v>
      </c>
      <c r="J102" s="6" t="s">
        <v>688</v>
      </c>
      <c r="K102" s="6" t="s">
        <v>689</v>
      </c>
      <c r="L102" s="10" t="s">
        <v>44</v>
      </c>
      <c r="M102" s="6" t="s">
        <v>690</v>
      </c>
    </row>
    <row r="103" ht="36" customHeight="1">
      <c r="A103" s="4">
        <v>100</v>
      </c>
      <c r="B103" s="13" t="s">
        <v>145</v>
      </c>
      <c r="C103" s="14" t="s">
        <v>368</v>
      </c>
      <c r="D103" s="7" t="s">
        <v>691</v>
      </c>
      <c r="E103" s="6" t="s">
        <v>28</v>
      </c>
      <c r="F103" s="6" t="s">
        <v>692</v>
      </c>
      <c r="G103" s="6" t="s">
        <v>693</v>
      </c>
      <c r="H103" s="6" t="s">
        <v>72</v>
      </c>
      <c r="I103" s="8" t="str">
        <f>HYPERLINK("https://www.linkedin.com/in/temimis","linkedin.com/in/temimis (KIDDOS AI founder)")</f>
        <v>linkedin.com/in/temimis (KIDDOS AI founder)</v>
      </c>
      <c r="J103" s="6" t="s">
        <v>79</v>
      </c>
      <c r="K103" s="6" t="s">
        <v>695</v>
      </c>
      <c r="L103" s="12" t="s">
        <v>81</v>
      </c>
      <c r="M103" s="6" t="s">
        <v>696</v>
      </c>
    </row>
    <row r="104" ht="36" customHeight="1">
      <c r="A104" s="4">
        <v>101</v>
      </c>
      <c r="B104" s="15" t="s">
        <v>697</v>
      </c>
      <c r="C104" s="14" t="s">
        <v>698</v>
      </c>
      <c r="D104" s="7" t="s">
        <v>699</v>
      </c>
      <c r="E104" s="6" t="s">
        <v>700</v>
      </c>
      <c r="F104" s="6" t="s">
        <v>701</v>
      </c>
      <c r="G104" s="6" t="s">
        <v>702</v>
      </c>
      <c r="H104" s="6" t="s">
        <v>72</v>
      </c>
      <c r="I104" s="8" t="str">
        <f>HYPERLINK("https://www.linkedin.com/in/luis-pastor-04a8286","linkedin.com/in/luis-pastor")</f>
        <v>linkedin.com/in/luis-pastor</v>
      </c>
      <c r="J104" s="6" t="s">
        <v>79</v>
      </c>
      <c r="K104" s="6" t="s">
        <v>704</v>
      </c>
      <c r="L104" s="4" t="s">
        <v>25</v>
      </c>
      <c r="M104" s="6" t="s">
        <v>705</v>
      </c>
    </row>
    <row r="105" ht="36" customHeight="1">
      <c r="A105" s="4">
        <v>102</v>
      </c>
      <c r="B105" s="15" t="s">
        <v>697</v>
      </c>
      <c r="C105" s="14" t="s">
        <v>698</v>
      </c>
      <c r="D105" s="7" t="s">
        <v>706</v>
      </c>
      <c r="E105" s="6" t="s">
        <v>18</v>
      </c>
      <c r="F105" s="6" t="s">
        <v>707</v>
      </c>
      <c r="G105" s="6" t="s">
        <v>702</v>
      </c>
      <c r="H105" s="6" t="s">
        <v>72</v>
      </c>
      <c r="I105" s="8" t="str">
        <f>HYPERLINK("https://www.linkedin.com/in/jason-madiedo-19463418","linkedin.com/in/jason-madiedo")</f>
        <v>linkedin.com/in/jason-madiedo</v>
      </c>
      <c r="J105" s="6" t="s">
        <v>79</v>
      </c>
      <c r="K105" s="6" t="s">
        <v>709</v>
      </c>
      <c r="L105" s="4" t="s">
        <v>25</v>
      </c>
      <c r="M105" s="6" t="s">
        <v>710</v>
      </c>
    </row>
    <row r="106" ht="36" customHeight="1">
      <c r="A106" s="4">
        <v>103</v>
      </c>
      <c r="B106" s="15" t="s">
        <v>697</v>
      </c>
      <c r="C106" s="14" t="s">
        <v>698</v>
      </c>
      <c r="D106" s="7" t="s">
        <v>711</v>
      </c>
      <c r="E106" s="6" t="s">
        <v>28</v>
      </c>
      <c r="F106" s="6" t="s">
        <v>712</v>
      </c>
      <c r="G106" s="6" t="s">
        <v>702</v>
      </c>
      <c r="H106" s="6" t="s">
        <v>72</v>
      </c>
      <c r="I106" s="8" t="str">
        <f>HYPERLINK("https://www.linkedin.com/in/ron-leonhardt","linkedin.com/in/ron-leonhardt")</f>
        <v>linkedin.com/in/ron-leonhardt</v>
      </c>
      <c r="J106" s="6" t="s">
        <v>714</v>
      </c>
      <c r="K106" s="6" t="s">
        <v>715</v>
      </c>
      <c r="L106" s="4" t="s">
        <v>25</v>
      </c>
      <c r="M106" s="6" t="s">
        <v>716</v>
      </c>
    </row>
    <row r="107" ht="36" customHeight="1">
      <c r="A107" s="4">
        <v>104</v>
      </c>
      <c r="B107" s="15" t="s">
        <v>697</v>
      </c>
      <c r="C107" s="14" t="s">
        <v>698</v>
      </c>
      <c r="D107" s="7" t="s">
        <v>717</v>
      </c>
      <c r="E107" s="6" t="s">
        <v>28</v>
      </c>
      <c r="F107" s="6" t="s">
        <v>718</v>
      </c>
      <c r="G107" s="6" t="s">
        <v>702</v>
      </c>
      <c r="H107" s="6" t="s">
        <v>72</v>
      </c>
      <c r="I107" s="8" t="str">
        <f>HYPERLINK("https://www.linkedin.com/in/steve-jacobson-9529ba","linkedin.com/in/steve-jacobson")</f>
        <v>linkedin.com/in/steve-jacobson</v>
      </c>
      <c r="J107" s="6" t="s">
        <v>94</v>
      </c>
      <c r="K107" s="6" t="s">
        <v>720</v>
      </c>
      <c r="L107" s="4" t="s">
        <v>25</v>
      </c>
      <c r="M107" s="6" t="s">
        <v>721</v>
      </c>
    </row>
    <row r="108" ht="36" customHeight="1">
      <c r="A108" s="4">
        <v>105</v>
      </c>
      <c r="B108" s="15" t="s">
        <v>697</v>
      </c>
      <c r="C108" s="14" t="s">
        <v>698</v>
      </c>
      <c r="D108" s="7" t="s">
        <v>722</v>
      </c>
      <c r="E108" s="6" t="s">
        <v>723</v>
      </c>
      <c r="F108" s="6" t="s">
        <v>724</v>
      </c>
      <c r="G108" s="6" t="s">
        <v>702</v>
      </c>
      <c r="H108" s="6" t="s">
        <v>72</v>
      </c>
      <c r="I108" s="8" t="str">
        <f>HYPERLINK("https://www.linkedin.com/in/marktodo","linkedin.com/in/marktodo")</f>
        <v>linkedin.com/in/marktodo</v>
      </c>
      <c r="J108" s="6" t="s">
        <v>79</v>
      </c>
      <c r="K108" s="6" t="s">
        <v>726</v>
      </c>
      <c r="L108" s="4" t="s">
        <v>25</v>
      </c>
      <c r="M108" s="6" t="s">
        <v>727</v>
      </c>
    </row>
    <row r="109" ht="36" customHeight="1">
      <c r="A109" s="4">
        <v>106</v>
      </c>
      <c r="B109" s="15" t="s">
        <v>697</v>
      </c>
      <c r="C109" s="14" t="s">
        <v>698</v>
      </c>
      <c r="D109" s="7" t="s">
        <v>728</v>
      </c>
      <c r="E109" s="6" t="s">
        <v>105</v>
      </c>
      <c r="F109" s="6" t="s">
        <v>729</v>
      </c>
      <c r="G109" s="6" t="s">
        <v>702</v>
      </c>
      <c r="H109" s="6" t="s">
        <v>72</v>
      </c>
      <c r="I109" s="8" t="str">
        <f>HYPERLINK("https://www.linkedin.com/in/terry-schmidt20","linkedin.com/in/terry-schmidt")</f>
        <v>linkedin.com/in/terry-schmidt</v>
      </c>
      <c r="J109" s="6" t="s">
        <v>94</v>
      </c>
      <c r="K109" s="6" t="s">
        <v>731</v>
      </c>
      <c r="L109" s="4" t="s">
        <v>25</v>
      </c>
      <c r="M109" s="6" t="s">
        <v>732</v>
      </c>
    </row>
    <row r="110" ht="36" customHeight="1">
      <c r="A110" s="4">
        <v>107</v>
      </c>
      <c r="B110" s="15" t="s">
        <v>697</v>
      </c>
      <c r="C110" s="14" t="s">
        <v>698</v>
      </c>
      <c r="D110" s="7" t="s">
        <v>733</v>
      </c>
      <c r="E110" s="6" t="s">
        <v>734</v>
      </c>
      <c r="F110" s="6" t="s">
        <v>735</v>
      </c>
      <c r="G110" s="6" t="s">
        <v>702</v>
      </c>
      <c r="H110" s="6" t="s">
        <v>72</v>
      </c>
      <c r="I110" s="8" t="str">
        <f>HYPERLINK("https://www.linkedin.com/in/mary-mcduffie","linkedin.com/in/mary-mcduffie")</f>
        <v>linkedin.com/in/mary-mcduffie</v>
      </c>
      <c r="J110" s="6" t="s">
        <v>79</v>
      </c>
      <c r="K110" s="6" t="s">
        <v>737</v>
      </c>
      <c r="L110" s="4" t="s">
        <v>44</v>
      </c>
      <c r="M110" s="6" t="s">
        <v>738</v>
      </c>
    </row>
    <row r="111" ht="36" customHeight="1">
      <c r="A111" s="4">
        <v>108</v>
      </c>
      <c r="B111" s="15" t="s">
        <v>697</v>
      </c>
      <c r="C111" s="14" t="s">
        <v>698</v>
      </c>
      <c r="D111" s="7" t="s">
        <v>469</v>
      </c>
      <c r="E111" s="6" t="s">
        <v>739</v>
      </c>
      <c r="F111" s="6" t="s">
        <v>740</v>
      </c>
      <c r="G111" s="6" t="s">
        <v>702</v>
      </c>
      <c r="H111" s="6" t="s">
        <v>72</v>
      </c>
      <c r="I111" s="8" t="str">
        <f>HYPERLINK("https://www.linkedin.com/in/michael-g-rhodes","linkedin.com/in/michael-g-rhodes")</f>
        <v>linkedin.com/in/michael-g-rhodes</v>
      </c>
      <c r="J111" s="6" t="s">
        <v>79</v>
      </c>
      <c r="K111" s="6" t="s">
        <v>742</v>
      </c>
      <c r="L111" s="4" t="s">
        <v>25</v>
      </c>
      <c r="M111" s="6" t="s">
        <v>743</v>
      </c>
    </row>
    <row r="112" ht="36" customHeight="1">
      <c r="A112" s="4">
        <v>109</v>
      </c>
      <c r="B112" s="16" t="s">
        <v>744</v>
      </c>
      <c r="C112" s="14" t="s">
        <v>698</v>
      </c>
      <c r="D112" s="7" t="s">
        <v>745</v>
      </c>
      <c r="E112" s="6" t="s">
        <v>746</v>
      </c>
      <c r="F112" s="6" t="s">
        <v>747</v>
      </c>
      <c r="G112" s="6" t="s">
        <v>702</v>
      </c>
      <c r="H112" s="6" t="s">
        <v>72</v>
      </c>
      <c r="I112" s="6" t="s">
        <v>748</v>
      </c>
      <c r="J112" s="6" t="s">
        <v>79</v>
      </c>
      <c r="K112" s="6" t="s">
        <v>749</v>
      </c>
      <c r="L112" s="4" t="s">
        <v>44</v>
      </c>
      <c r="M112" s="6" t="s">
        <v>750</v>
      </c>
    </row>
    <row r="113" ht="36" customHeight="1">
      <c r="A113" s="4">
        <v>110</v>
      </c>
      <c r="B113" s="16" t="s">
        <v>744</v>
      </c>
      <c r="C113" s="14" t="s">
        <v>698</v>
      </c>
      <c r="D113" s="7" t="s">
        <v>751</v>
      </c>
      <c r="E113" s="6" t="s">
        <v>752</v>
      </c>
      <c r="F113" s="6" t="s">
        <v>753</v>
      </c>
      <c r="G113" s="6" t="s">
        <v>702</v>
      </c>
      <c r="H113" s="6" t="s">
        <v>72</v>
      </c>
      <c r="I113" s="6" t="s">
        <v>754</v>
      </c>
      <c r="J113" s="6" t="s">
        <v>79</v>
      </c>
      <c r="K113" s="6" t="s">
        <v>755</v>
      </c>
      <c r="L113" s="4" t="s">
        <v>81</v>
      </c>
      <c r="M113" s="6" t="s">
        <v>756</v>
      </c>
    </row>
    <row r="114" ht="36" customHeight="1">
      <c r="A114" s="4">
        <v>111</v>
      </c>
      <c r="B114" s="16" t="s">
        <v>744</v>
      </c>
      <c r="C114" s="14" t="s">
        <v>698</v>
      </c>
      <c r="D114" s="7" t="s">
        <v>757</v>
      </c>
      <c r="E114" s="6" t="s">
        <v>758</v>
      </c>
      <c r="F114" s="6" t="s">
        <v>759</v>
      </c>
      <c r="G114" s="6" t="s">
        <v>702</v>
      </c>
      <c r="H114" s="6" t="s">
        <v>72</v>
      </c>
      <c r="I114" s="8" t="str">
        <f>HYPERLINK("https://www.linkedin.com/in/brendan-clair-72b92217","linkedin.com/in/brendan-clair")</f>
        <v>linkedin.com/in/brendan-clair</v>
      </c>
      <c r="J114" s="6" t="s">
        <v>79</v>
      </c>
      <c r="K114" s="6" t="s">
        <v>761</v>
      </c>
      <c r="L114" s="4" t="s">
        <v>44</v>
      </c>
      <c r="M114" s="6" t="s">
        <v>762</v>
      </c>
    </row>
    <row r="115" ht="36" customHeight="1">
      <c r="A115" s="4">
        <v>112</v>
      </c>
      <c r="B115" s="16" t="s">
        <v>744</v>
      </c>
      <c r="C115" s="14" t="s">
        <v>698</v>
      </c>
      <c r="D115" s="7" t="s">
        <v>763</v>
      </c>
      <c r="E115" s="6" t="s">
        <v>764</v>
      </c>
      <c r="F115" s="6" t="s">
        <v>765</v>
      </c>
      <c r="G115" s="6" t="s">
        <v>702</v>
      </c>
      <c r="H115" s="6" t="s">
        <v>72</v>
      </c>
      <c r="I115" s="8" t="str">
        <f>HYPERLINK("https://www.linkedin.com/in/tom-radle-9568947","linkedin.com/in/tom-radle")</f>
        <v>linkedin.com/in/tom-radle</v>
      </c>
      <c r="J115" s="6" t="s">
        <v>79</v>
      </c>
      <c r="K115" s="6" t="s">
        <v>767</v>
      </c>
      <c r="L115" s="4" t="s">
        <v>44</v>
      </c>
      <c r="M115" s="6" t="s">
        <v>768</v>
      </c>
    </row>
    <row r="116" ht="36" customHeight="1">
      <c r="A116" s="4">
        <v>113</v>
      </c>
      <c r="B116" s="16" t="s">
        <v>744</v>
      </c>
      <c r="C116" s="14" t="s">
        <v>698</v>
      </c>
      <c r="D116" s="7" t="s">
        <v>769</v>
      </c>
      <c r="E116" s="6" t="s">
        <v>28</v>
      </c>
      <c r="F116" s="6" t="s">
        <v>770</v>
      </c>
      <c r="G116" s="6" t="s">
        <v>702</v>
      </c>
      <c r="H116" s="6" t="s">
        <v>72</v>
      </c>
      <c r="I116" s="8" t="str">
        <f>HYPERLINK("https://www.linkedin.com/in/joe-welu-4056726","linkedin.com/in/joe-welu")</f>
        <v>linkedin.com/in/joe-welu</v>
      </c>
      <c r="J116" s="6" t="s">
        <v>79</v>
      </c>
      <c r="K116" s="6" t="s">
        <v>772</v>
      </c>
      <c r="L116" s="4" t="s">
        <v>25</v>
      </c>
      <c r="M116" s="6" t="s">
        <v>773</v>
      </c>
    </row>
    <row r="117" ht="36" customHeight="1">
      <c r="A117" s="4">
        <v>114</v>
      </c>
      <c r="B117" s="17" t="s">
        <v>774</v>
      </c>
      <c r="C117" s="14" t="s">
        <v>698</v>
      </c>
      <c r="D117" s="7" t="s">
        <v>775</v>
      </c>
      <c r="E117" s="6" t="s">
        <v>18</v>
      </c>
      <c r="F117" s="6" t="s">
        <v>776</v>
      </c>
      <c r="G117" s="6" t="s">
        <v>702</v>
      </c>
      <c r="H117" s="6" t="s">
        <v>72</v>
      </c>
      <c r="I117" s="8" t="str">
        <f>HYPERLINK("https://www.linkedin.com/in/gary-acosta","linkedin.com/in/gary-acosta")</f>
        <v>linkedin.com/in/gary-acosta</v>
      </c>
      <c r="J117" s="6" t="s">
        <v>79</v>
      </c>
      <c r="K117" s="6" t="s">
        <v>778</v>
      </c>
      <c r="L117" s="4" t="s">
        <v>25</v>
      </c>
      <c r="M117" s="6" t="s">
        <v>779</v>
      </c>
    </row>
    <row r="118" ht="36" customHeight="1">
      <c r="A118" s="4">
        <v>115</v>
      </c>
      <c r="B118" s="17" t="s">
        <v>774</v>
      </c>
      <c r="C118" s="14" t="s">
        <v>698</v>
      </c>
      <c r="D118" s="7" t="s">
        <v>780</v>
      </c>
      <c r="E118" s="6" t="s">
        <v>246</v>
      </c>
      <c r="F118" s="6" t="s">
        <v>781</v>
      </c>
      <c r="G118" s="6" t="s">
        <v>782</v>
      </c>
      <c r="H118" s="6" t="s">
        <v>72</v>
      </c>
      <c r="I118" s="8" t="str">
        <f>HYPERLINK("https://www.linkedin.com/in/janetmurguia","linkedin.com/in/janetmurguia")</f>
        <v>linkedin.com/in/janetmurguia</v>
      </c>
      <c r="J118" s="6" t="s">
        <v>79</v>
      </c>
      <c r="K118" s="6" t="s">
        <v>784</v>
      </c>
      <c r="L118" s="4" t="s">
        <v>25</v>
      </c>
      <c r="M118" s="6" t="s">
        <v>785</v>
      </c>
    </row>
    <row r="119" ht="36" customHeight="1">
      <c r="A119" s="4">
        <v>116</v>
      </c>
      <c r="B119" s="17" t="s">
        <v>774</v>
      </c>
      <c r="C119" s="14" t="s">
        <v>698</v>
      </c>
      <c r="D119" s="7" t="s">
        <v>786</v>
      </c>
      <c r="E119" s="6" t="s">
        <v>787</v>
      </c>
      <c r="F119" s="6" t="s">
        <v>788</v>
      </c>
      <c r="G119" s="6" t="s">
        <v>782</v>
      </c>
      <c r="H119" s="6" t="s">
        <v>72</v>
      </c>
      <c r="I119" s="6" t="s">
        <v>789</v>
      </c>
      <c r="J119" s="6" t="s">
        <v>79</v>
      </c>
      <c r="K119" s="6" t="s">
        <v>790</v>
      </c>
      <c r="L119" s="4" t="s">
        <v>44</v>
      </c>
      <c r="M119" s="6" t="s">
        <v>791</v>
      </c>
    </row>
    <row r="120" ht="36" customHeight="1">
      <c r="A120" s="4">
        <v>117</v>
      </c>
      <c r="B120" s="18" t="s">
        <v>792</v>
      </c>
      <c r="C120" s="14" t="s">
        <v>698</v>
      </c>
      <c r="D120" s="7" t="s">
        <v>793</v>
      </c>
      <c r="E120" s="6" t="s">
        <v>794</v>
      </c>
      <c r="F120" s="6" t="s">
        <v>795</v>
      </c>
      <c r="G120" s="6" t="s">
        <v>796</v>
      </c>
      <c r="H120" s="6" t="s">
        <v>72</v>
      </c>
      <c r="I120" s="6" t="s">
        <v>797</v>
      </c>
      <c r="J120" s="6" t="s">
        <v>798</v>
      </c>
      <c r="K120" s="6" t="s">
        <v>799</v>
      </c>
      <c r="L120" s="4" t="s">
        <v>44</v>
      </c>
      <c r="M120" s="6" t="s">
        <v>800</v>
      </c>
    </row>
    <row r="121" ht="36" customHeight="1">
      <c r="A121" s="4">
        <v>118</v>
      </c>
      <c r="B121" s="18" t="s">
        <v>792</v>
      </c>
      <c r="C121" s="14" t="s">
        <v>698</v>
      </c>
      <c r="D121" s="7" t="s">
        <v>801</v>
      </c>
      <c r="E121" s="6" t="s">
        <v>802</v>
      </c>
      <c r="F121" s="6" t="s">
        <v>803</v>
      </c>
      <c r="G121" s="6" t="s">
        <v>804</v>
      </c>
      <c r="H121" s="6" t="s">
        <v>72</v>
      </c>
      <c r="I121" s="6" t="s">
        <v>805</v>
      </c>
      <c r="J121" s="6" t="s">
        <v>79</v>
      </c>
      <c r="K121" s="6" t="s">
        <v>806</v>
      </c>
      <c r="L121" s="4" t="s">
        <v>81</v>
      </c>
      <c r="M121" s="6" t="s">
        <v>807</v>
      </c>
    </row>
    <row r="122" ht="36" customHeight="1">
      <c r="A122" s="4">
        <v>119</v>
      </c>
      <c r="B122" s="18" t="s">
        <v>792</v>
      </c>
      <c r="C122" s="14" t="s">
        <v>698</v>
      </c>
      <c r="D122" s="7" t="s">
        <v>808</v>
      </c>
      <c r="E122" s="6" t="s">
        <v>18</v>
      </c>
      <c r="F122" s="6" t="s">
        <v>809</v>
      </c>
      <c r="G122" s="6" t="s">
        <v>810</v>
      </c>
      <c r="H122" s="6" t="s">
        <v>72</v>
      </c>
      <c r="I122" s="8" t="str">
        <f>HYPERLINK("https://www.linkedin.com/in/benjamin-labra","linkedin.com/in/benjamin-labra")</f>
        <v>linkedin.com/in/benjamin-labra</v>
      </c>
      <c r="J122" s="6" t="s">
        <v>79</v>
      </c>
      <c r="K122" s="6" t="s">
        <v>812</v>
      </c>
      <c r="L122" s="4" t="s">
        <v>44</v>
      </c>
      <c r="M122" s="6" t="s">
        <v>813</v>
      </c>
    </row>
    <row r="124" ht="45" customHeight="1">
      <c r="A124" s="19" t="s">
        <v>814</v>
      </c>
    </row>
  </sheetData>
  <mergeCells>
    <mergeCell ref="A1:M1"/>
    <mergeCell ref="A2:M2"/>
    <mergeCell ref="A124:M124"/>
  </mergeCells>
  <conditionalFormatting sqref="L104:L122">
    <cfRule type="cellIs" dxfId="0" priority="3" operator="equal" text="null">
      <formula>"H"</formula>
    </cfRule>
  </conditionalFormatting>
  <conditionalFormatting sqref="L104:L122">
    <cfRule type="cellIs" dxfId="1" priority="2" operator="equal" text="null">
      <formula>"M"</formula>
    </cfRule>
  </conditionalFormatting>
  <conditionalFormatting sqref="L104:L122">
    <cfRule type="cellIs" dxfId="2" priority="1" operator="equal" text="null">
      <formula>"L"</formula>
    </cfRule>
  </conditionalFormatting>
  <hyperlinks>
    <hyperlink ref="I4" r:id="rId1" display="linkedin.com/in/zachariah-reitano"/>
    <hyperlink ref="I5" r:id="rId2" display="linkedin.com/in/andrewdudum"/>
    <hyperlink ref="I6" r:id="rId3" display="linkedin.com/in/feras-antoon"/>
    <hyperlink ref="I7" r:id="rId4" display="linkedin.com/in/samiinkinen"/>
    <hyperlink ref="I8" r:id="rId5" display="linkedin.com/in/federicoast"/>
    <hyperlink ref="I9" r:id="rId6" display="linkedin.com/in/olivierpomel"/>
    <hyperlink ref="I10" r:id="rId7" display="linkedin.com/in/zachariah-reitano"/>
    <hyperlink ref="I12" r:id="rId8" display="linkedin.com/in/alex-blania"/>
    <hyperlink ref="I13" r:id="rId9" display="linkedin.com/in/mayakrampf"/>
    <hyperlink ref="I14" r:id="rId10" display="linkedin.com/in/kharraz"/>
    <hyperlink ref="I15" r:id="rId11" display="linkedin.com/in/varun-krishna"/>
    <hyperlink ref="I18" r:id="rId12" display="linkedin.com/in/juan-sebastian-uribe-roa"/>
    <hyperlink ref="I22" r:id="rId13" display="linkedin.com/in/anthony-gustin"/>
    <hyperlink ref="I23" r:id="rId14" display="linkedin.com/in/florentcrivello"/>
    <hyperlink ref="I24" r:id="rId15" display="linkedin.com/in/oscargarciamaceiras"/>
    <hyperlink ref="I25" r:id="rId16" display="linkedin.com/in/sneh-vaswani"/>
    <hyperlink ref="I28" r:id="rId17" display="linkedin.com/in/carlos-brito1"/>
    <hyperlink ref="I30" r:id="rId18" display="linkedin.com/in/tiagosada"/>
    <hyperlink ref="I31" r:id="rId19" display="linkedin.com/in/marc-bedard"/>
    <hyperlink ref="I33" r:id="rId20" display="linkedin.com/in/courtlandallen"/>
    <hyperlink ref="I34" r:id="rId21" display="linkedin.com/in/patrickcollison"/>
    <hyperlink ref="I35" r:id="rId22" display="linkedin.com/in/garrytan"/>
    <hyperlink ref="I36" r:id="rId23" display="linkedin.com/in/amjadmasad"/>
    <hyperlink ref="I38" r:id="rId24" display="linkedin.com/in/vicente-di-loreto"/>
    <hyperlink ref="I39" r:id="rId25" display="linkedin.com/in/shaynecoplan"/>
    <hyperlink ref="I40" r:id="rId26" display="linkedin.com/in/lincoln-ando"/>
    <hyperlink ref="I41" r:id="rId27" display="linkedin.com/in/mariusz-gralewski"/>
    <hyperlink ref="I42" r:id="rId28" display="linkedin.com/in/anthony-hsieh"/>
    <hyperlink ref="I43" r:id="rId29" display="linkedin.com/in/douglebda (legacy)"/>
    <hyperlink ref="I44" r:id="rId30" display="linkedin.com/in/anthonynoto"/>
    <hyperlink ref="I45" r:id="rId31" display="linkedin.com/in/straschnov"/>
    <hyperlink ref="I46" r:id="rId32" display="linkedin.com/in/cjgbest"/>
    <hyperlink ref="I49" r:id="rId33" display="linkedin.com/in/ernie-garcia"/>
    <hyperlink ref="I50" r:id="rId34" display="linkedin.com/in/justinschreiber"/>
    <hyperlink ref="I54" r:id="rId35" display="linkedin.com/in/jeanjereissati"/>
    <hyperlink ref="I55" r:id="rId36" display="linkedin.com/in/marc-busain"/>
    <hyperlink ref="I56" r:id="rId37" display="linkedin.com/in/juan-pablo-de-velasco-garcia"/>
    <hyperlink ref="I57" r:id="rId38" display="linkedin.com/in/yoshuabengio"/>
    <hyperlink ref="I58" r:id="rId39" display="linkedin.com/in/valeriepisano"/>
    <hyperlink ref="I59" r:id="rId40" display="linkedin.com/in/jfgagne"/>
    <hyperlink ref="I60" r:id="rId41" display="linkedin.com/in/raquel-urtasun"/>
    <hyperlink ref="I61" r:id="rId42" display="linkedin.com/in/fredlalonde"/>
    <hyperlink ref="I62" r:id="rId43" display="linkedin.com/in/louis-tetu"/>
    <hyperlink ref="I63" r:id="rId44" display="linkedin.com/in/alexandretaillefer"/>
    <hyperlink ref="I67" r:id="rId45" display="linkedin.com/in/shaynecoplan"/>
    <hyperlink ref="I68" r:id="rId46" display="linkedin.com/in/jason--robins"/>
    <hyperlink ref="I69" r:id="rId47" display="linkedin.com/in/ernie-garcia"/>
    <hyperlink ref="I71" r:id="rId48" display="linkedin.com/in/winston-weinberg"/>
    <hyperlink ref="I72" r:id="rId49" display="linkedin.com/in/rutvik-rau"/>
    <hyperlink ref="I75" r:id="rId50" display="linkedin.com/in/alexbenlloch"/>
    <hyperlink ref="I77" r:id="rId51" display="linkedin.com/in/ignacio-bachiller-strohlein"/>
    <hyperlink ref="I79" r:id="rId52" display="linkedin.com/in/ashtom"/>
    <hyperlink ref="I80" r:id="rId53" display="linkedin.com/in/wadefoster"/>
    <hyperlink ref="I81" r:id="rId54" display="linkedin.com/in/rajiv-ayyangar"/>
    <hyperlink ref="I82" r:id="rId55" display="linkedin.com/in/toran-richards"/>
    <hyperlink ref="I83" r:id="rId56" display="linkedin.com/in/joaomdmoura"/>
    <hyperlink ref="I84" r:id="rId57" display="linkedin.com/in/antonosika"/>
    <hyperlink ref="I85" r:id="rId58" display="linkedin.com/in/iakhund"/>
    <hyperlink ref="I86" r:id="rId59" display="linkedin.com/in/sahillavingia"/>
    <hyperlink ref="I88" r:id="rId60" display="linkedin.com/in/marclouvion"/>
    <hyperlink ref="I90" r:id="rId61" display="linkedin.com/in/dinhtony"/>
    <hyperlink ref="I91" r:id="rId62" display="linkedin.com/in/retentionadam"/>
    <hyperlink ref="I92" r:id="rId63" display="linkedin.com/in/nathanbarry"/>
    <hyperlink ref="I93" r:id="rId64" display="linkedin.com/in/awilkinson"/>
    <hyperlink ref="I94" r:id="rId65" display="linkedin.com/in/jason-lopatecki"/>
    <hyperlink ref="I95" r:id="rId66" display="linkedin.com/in/georgekurtz"/>
    <hyperlink ref="I96" r:id="rId67" display="linkedin.com/in/anandeswaran"/>
    <hyperlink ref="I97" r:id="rId68" display="linkedin.com/in/bipulsinha"/>
    <hyperlink ref="I98" r:id="rId69" display="linkedin.com/in/jaychaudhry"/>
    <hyperlink ref="I99" r:id="rId70" display="linkedin.com/in/ashanwilly"/>
    <hyperlink ref="I102" r:id="rId71" display="linkedin.com/in/andrewchen"/>
    <hyperlink ref="I103" r:id="rId72" display="linkedin.com/in/temimis (KIDDOS AI founder)"/>
    <hyperlink ref="I104" r:id="rId73" display="linkedin.com/in/luis-pastor"/>
    <hyperlink ref="I105" r:id="rId74" display="linkedin.com/in/jason-madiedo"/>
    <hyperlink ref="I106" r:id="rId75" display="linkedin.com/in/ron-leonhardt"/>
    <hyperlink ref="I107" r:id="rId76" display="linkedin.com/in/steve-jacobson"/>
    <hyperlink ref="I108" r:id="rId77" display="linkedin.com/in/marktodo"/>
    <hyperlink ref="I109" r:id="rId78" display="linkedin.com/in/terry-schmidt"/>
    <hyperlink ref="I110" r:id="rId79" display="linkedin.com/in/mary-mcduffie"/>
    <hyperlink ref="I111" r:id="rId80" display="linkedin.com/in/michael-g-rhodes"/>
    <hyperlink ref="I114" r:id="rId81" display="linkedin.com/in/brendan-clair"/>
    <hyperlink ref="I115" r:id="rId82" display="linkedin.com/in/tom-radle"/>
    <hyperlink ref="I116" r:id="rId83" display="linkedin.com/in/joe-welu"/>
    <hyperlink ref="I117" r:id="rId84" display="linkedin.com/in/gary-acosta"/>
    <hyperlink ref="I118" r:id="rId85" display="linkedin.com/in/janetmurguia"/>
    <hyperlink ref="I122" r:id="rId86" display="linkedin.com/in/benjamin-labra"/>
  </hyperlink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2026-07-30T02:43:07Z</dcterms:created>
</cp:coreProperties>
</file>