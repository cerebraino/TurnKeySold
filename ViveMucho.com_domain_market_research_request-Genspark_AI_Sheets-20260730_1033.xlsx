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Prospectos" sheetId="1"/>
    <sheet r:id="rId2" name="Comparables" sheetId="2"/>
    <sheet r:id="rId3" name="Valoración" sheetId="3"/>
  </sheets>
  <calcPr calcId="0" iterate="1" iterateCount="1000" iterateDelta="0.01"/>
</workbook>
</file>

<file path=xl/sharedStrings.xml><?xml version="1.0" encoding="utf-8"?>
<sst xmlns="http://schemas.openxmlformats.org/spreadsheetml/2006/main" count="333" uniqueCount="333">
  <si>
    <t>Nº</t>
  </si>
  <si>
    <t>Nombre / Organización</t>
  </si>
  <si>
    <t>Segmento</t>
  </si>
  <si>
    <t>País</t>
  </si>
  <si>
    <t>Ciudad / Dirección</t>
  </si>
  <si>
    <t>Plataforma y alcance</t>
  </si>
  <si>
    <t>Contacto verificado</t>
  </si>
  <si>
    <t>Motivación (encaje con ViveMucho.com / VivaMucho.com)</t>
  </si>
  <si>
    <t>Ajuste temático (1-5)</t>
  </si>
  <si>
    <t>Alcance (1-5)</t>
  </si>
  <si>
    <t>Contacto disp. (0-2)</t>
  </si>
  <si>
    <t>Puntuación</t>
  </si>
  <si>
    <t>Prioridad</t>
  </si>
  <si>
    <t>Fuente</t>
  </si>
  <si>
    <t>Dr. Ángel Durántez – Clínica Neleva</t>
  </si>
  <si>
    <t>Clínica de longevidad / médico pionero</t>
  </si>
  <si>
    <t>España</t>
  </si>
  <si>
    <t>Madrid (C/Claudio Coello 19, 1ª planta, 28001)</t>
  </si>
  <si>
    <t>Pionero de Age Management en España (+30 años); autor de "Joven a los 100"; Forbes 100 mejores médicos</t>
  </si>
  <si>
    <t>atencionpaciente@clinicaneleva.com; info@drdurantez.es; Tel +34 915 622 278; +34 699 595 619</t>
  </si>
  <si>
    <t>Su marca personal ES "vivir más y mejor": el dominio es su mensaje literal; ideal como portal de sus programas y libros</t>
  </si>
  <si>
    <t>Alta</t>
  </si>
  <si>
    <t>Age Reversal – Dr. Hernández Poveda</t>
  </si>
  <si>
    <t>Clínica de longevidad premium</t>
  </si>
  <si>
    <t>Madrid-Pozuelo de Alarcón, Barcelona y Mallorca</t>
  </si>
  <si>
    <t>Chequeos con +1.000 biomarcadores; membresías de 10.000€ a 35.000€</t>
  </si>
  <si>
    <t>info@agereversal.es; +34 650 344 806; formulario agereversal.es/join</t>
  </si>
  <si>
    <t>Clínica en expansión (3 sedes) con clientela premium; un dominio emocional en español refuerza su captación de alto valor</t>
  </si>
  <si>
    <t>SHA Wellness Clinic – Dr. Vicente Mera</t>
  </si>
  <si>
    <t>Clínica wellness de lujo</t>
  </si>
  <si>
    <t>Alfaz del Pi, Alicante (también México y Emiratos)</t>
  </si>
  <si>
    <t>Referencia mundial del wellness; Mera premiado como mejor médico europeo en antienvejecimiento</t>
  </si>
  <si>
    <t>sales@shawellness.com; +34 865 614 147</t>
  </si>
  <si>
    <t>Marca global de "vivir más y mejor"; el dominio serviría para campañas en español y comunidad de pacientes</t>
  </si>
  <si>
    <t>Buchinger Wilhelmi Marbella</t>
  </si>
  <si>
    <t>Clínica de ayuno terapéutico / wellness</t>
  </si>
  <si>
    <t>Marbella, Málaga (Av. Buchinger 15)</t>
  </si>
  <si>
    <t>Clínica líder mundial en ayuno; organiza Congreso de Longevidad anual en Marbella (150+ expertos)</t>
  </si>
  <si>
    <t>clinica@buchinger-wilhelmi.es; +34 952 764 300</t>
  </si>
  <si>
    <t>Su congreso de longevidad necesita presencia digital en español; encaje directo con "vive mucho"</t>
  </si>
  <si>
    <t>Olympia Quirónsalud – Unidad de Longevidad</t>
  </si>
  <si>
    <t>Unidad de longevidad hospitalaria</t>
  </si>
  <si>
    <t>Madrid</t>
  </si>
  <si>
    <t>Unidad de longevidad y lifestyle center de uno de los mayores grupos hospitalarios privados de España</t>
  </si>
  <si>
    <t>Formulario web olympia.quironsalud.com</t>
  </si>
  <si>
    <t>Grupo sanitario con línea de medicina de estilo de vida; posible portal educativo de longevidad</t>
  </si>
  <si>
    <t>Media</t>
  </si>
  <si>
    <t>Lonvida – Alfredo Carvajal (CEO) / Dr. Yosafat Audiffred</t>
  </si>
  <si>
    <t>Clínica de longevidad y medicina regenerativa</t>
  </si>
  <si>
    <t>México</t>
  </si>
  <si>
    <t>CDMX, Polanco (Goldsmith 38, piso 3); apertura en Los Cabos</t>
  </si>
  <si>
    <t>Células madre, NAD+, check-ups de precisión; certificación COFEPRIS</t>
  </si>
  <si>
    <t>contacto@lonvida.com; Tel +52 55 9794 6262; WhatsApp +52 55 7906 4445</t>
  </si>
  <si>
    <t>Su propio nombre juega con "longevidad + vida"; en plena expansión, necesitan activos digitales memorables</t>
  </si>
  <si>
    <t>Wellness Care – Dra. Vanessa Rivera (Directora)</t>
  </si>
  <si>
    <t>Clínica de longevidad</t>
  </si>
  <si>
    <t>Colombia</t>
  </si>
  <si>
    <t>Medellín, El Poblado (Calle 7 Sur #42-70, Cons. 1013)</t>
  </si>
  <si>
    <t>Única clínica en LatAm con recambio terapéutico de plasma; 500+ pacientes tratados</t>
  </si>
  <si>
    <t>administracion@well-ness.care; WhatsApp +57 324 399 9128</t>
  </si>
  <si>
    <t>Clínica pionera que capta pacientes internacionales; un dominio fácil de recordar en español potencia su turismo médico</t>
  </si>
  <si>
    <t>Dr. William Joaquí ("Dr. Joaqui")</t>
  </si>
  <si>
    <t>Médico regenerativo / divulgador biohacking</t>
  </si>
  <si>
    <t>Medellín (Edificio Torre Intermédica, Cl. 7 #39-197, Cons. 1717)</t>
  </si>
  <si>
    <t>Clínica de células madre y péptidos; contenido de biohacking en español con gran alcance</t>
  </si>
  <si>
    <t>Formulario en drjoaqui.com</t>
  </si>
  <si>
    <t>Divulgador de biohacking y longevidad; "vive mucho" resume su narrativa de optimización</t>
  </si>
  <si>
    <t>Longevity Institute</t>
  </si>
  <si>
    <t>Clínica de células madre y medicina regenerativa</t>
  </si>
  <si>
    <t>Se presentan como líderes en México en terapia celular y longevidad</t>
  </si>
  <si>
    <t>Formulario en longevity-institute.com/es</t>
  </si>
  <si>
    <t>Su marca es genérica en inglés; un dominio emocional en español les diferenciaría en LatAm</t>
  </si>
  <si>
    <t>Dr. Julio Effio</t>
  </si>
  <si>
    <t>Médico cardiólogo pro-aging</t>
  </si>
  <si>
    <t>Panamá</t>
  </si>
  <si>
    <t>Ciudad de Panamá</t>
  </si>
  <si>
    <t>Cardiólogo enfocado en medicina de longevidad; participante del Longevity World Forum</t>
  </si>
  <si>
    <t>Vía Instagram (perfil público)</t>
  </si>
  <si>
    <t>Referente de la longevidad en Panamá; dominio útil para consulta y contenidos</t>
  </si>
  <si>
    <t>Baja</t>
  </si>
  <si>
    <t>Marcos Vázquez – Fitness Revolucionario</t>
  </si>
  <si>
    <t>Autor / podcaster de salud</t>
  </si>
  <si>
    <t>Gijón, Asturias</t>
  </si>
  <si>
    <t>Uno de los blogs y podcasts de salud más importantes en español; autor de "Invicto" y "Salud Salvaje"</t>
  </si>
  <si>
    <t>fitnessrevolucionario@gmail.com; marcos@fitnessrevolucionario.com</t>
  </si>
  <si>
    <t>Su mensaje es vitalidad y "salud salvaje"; dominio perfecto para un nuevo proyecto, comunidad o programa</t>
  </si>
  <si>
    <t>Dra. Odile Fernández (@misrecetasanticancer)</t>
  </si>
  <si>
    <t>Médica / autora / emprendedora suplementos</t>
  </si>
  <si>
    <t>Superviviente de cáncer; libros bestseller de alimentación anticáncer; línea de suplementos OFM</t>
  </si>
  <si>
    <t>info@ofm-health.com</t>
  </si>
  <si>
    <t>Vende libros y suplementos de vida saludable; dominio con gancho emocional para e-commerce y campañas</t>
  </si>
  <si>
    <t>Dr. Borja Bandera</t>
  </si>
  <si>
    <t>Médico divulgador de nutrición</t>
  </si>
  <si>
    <t>Málaga</t>
  </si>
  <si>
    <t>Autor de varios bestsellers de nutrición; gran audiencia en Instagram y YouTube</t>
  </si>
  <si>
    <t>No verificado (buscar en su web/IG)</t>
  </si>
  <si>
    <t>Comunicador masivo de hábitos saludables; encaje natural con el doble sentido del dominio</t>
  </si>
  <si>
    <t>Aitor Sánchez – Mi Dieta Cojea</t>
  </si>
  <si>
    <t>Dietista-nutricionista / autor</t>
  </si>
  <si>
    <t>Referente de la divulgación nutricional en español; varios libros</t>
  </si>
  <si>
    <t>No verificado (buscar en su blog)</t>
  </si>
  <si>
    <t>Proyecto educativo sobre alimentación real; posible portal de recursos</t>
  </si>
  <si>
    <t>Victoria Lozada (@nutritionisthenewblack)</t>
  </si>
  <si>
    <t>Dietista-nutricionista / autora</t>
  </si>
  <si>
    <t>Venezuela / España</t>
  </si>
  <si>
    <t>~293K seguidores IG y ~613K en TikTok; autora de 4 libros</t>
  </si>
  <si>
    <t>Formulario en nutritionisthenewblack.com</t>
  </si>
  <si>
    <t>Marca personal fuerte en nutrición sin obsesión; dominio para comunidad o academia</t>
  </si>
  <si>
    <t>Dra. Sari Arponen</t>
  </si>
  <si>
    <t>Médica PhD / autora / podcaster</t>
  </si>
  <si>
    <t>Bestseller "¡Es la microbiota, idiota!"; docente y divulgadora de salud integrativa</t>
  </si>
  <si>
    <t>Formulario en drasariarponen.com</t>
  </si>
  <si>
    <t>Salud integrativa y longevidad desde la microbiota; dominio para cursos o comunidad</t>
  </si>
  <si>
    <t>Dr. Mario Alonso Puig</t>
  </si>
  <si>
    <t>Cirujano / conferenciante de bienestar</t>
  </si>
  <si>
    <t>Referente del desarrollo personal en español; conferencias internacionales (México, LatAm)</t>
  </si>
  <si>
    <t>Formulario en su web oficial</t>
  </si>
  <si>
    <t>Su discurso es literalmente "vivir una vida plena": el segundo significado del dominio</t>
  </si>
  <si>
    <t>Dra. Marian Rojas Estapé</t>
  </si>
  <si>
    <t>Psiquiatra / autora</t>
  </si>
  <si>
    <t>Autora del bestseller "Cómo hacer que te pasen cosas buenas"; referente de bienestar emocional</t>
  </si>
  <si>
    <t>No verificado (buscar en su web oficial)</t>
  </si>
  <si>
    <t>Bienestar emocional = "vivir plenamente"; encaje temático alto</t>
  </si>
  <si>
    <t>Ana Ibáñez</t>
  </si>
  <si>
    <t>Neurocientífica / divulgadora</t>
  </si>
  <si>
    <t>Madrid, Barcelona y Valencia</t>
  </si>
  <si>
    <t>Directora de MindStudio; autora y conferenciante de neurociencia aplicada</t>
  </si>
  <si>
    <t>WhatsApp: Madrid +34 699 697 386; Barcelona +34 648 031 758; Valencia +34 638 099 456</t>
  </si>
  <si>
    <t>Neurociencia aplicada al bienestar y el rendimiento vital</t>
  </si>
  <si>
    <t>Patry Jordán – Gym Virtual</t>
  </si>
  <si>
    <t>Influencer fitness / empresaria</t>
  </si>
  <si>
    <t>España / Andorra</t>
  </si>
  <si>
    <t>Andorra / España</t>
  </si>
  <si>
    <t>1,3M seguidores IG; millones de suscriptores en YouTube; Gym Virtual Center</t>
  </si>
  <si>
    <t>colaboraciones@patryjordan.com; colaboraciones@gymvirtual.com; soporte@gymvirtual.com</t>
  </si>
  <si>
    <t>Imperio de fitness en español; dominio para app, comunidad o programa de bienestar</t>
  </si>
  <si>
    <t>Dr. Bayter (@doctorbayter)</t>
  </si>
  <si>
    <t>Médico influencer</t>
  </si>
  <si>
    <t>Colombia (gira nacional "Implacable" por 6 ciudades)</t>
  </si>
  <si>
    <t>4,9M seguidores en Instagram; autor de libros de alimentación y salud</t>
  </si>
  <si>
    <t>lina@latinwe.com (management); WhatsApp +57 301 893 3908</t>
  </si>
  <si>
    <t>Audiencia masiva en LatAm; lanza productos y giras de salud constantemente</t>
  </si>
  <si>
    <t>Dr. Carlos Jaramillo</t>
  </si>
  <si>
    <t>Médico funcional / autor / empresario</t>
  </si>
  <si>
    <t>Bogotá</t>
  </si>
  <si>
    <t>2,5M seguidores IG; bestseller "El milagro metabólico"; CJ Academy; director científico de Savvy</t>
  </si>
  <si>
    <t>info@drcarlosjaramillo.com; formulario en drcarlosjaramillo.com/contacto</t>
  </si>
  <si>
    <t>Ecosistema de cursos y suplementos; el dominio sería marca paraguas ideal de bienestar</t>
  </si>
  <si>
    <t>Dr. Juan Rivera – Santo Remedio</t>
  </si>
  <si>
    <t>Médico de TV / emprendedor de suplementos</t>
  </si>
  <si>
    <t>EE.UU. (mercado hispano)</t>
  </si>
  <si>
    <t>Miami, Florida</t>
  </si>
  <si>
    <t>Corresponsal médico jefe de Univision; fundador de Santo Remedio (2020)</t>
  </si>
  <si>
    <t>support@misantoremedio.com; 1-855-736-3346</t>
  </si>
  <si>
    <t>Vende suplementos a hispanos en EE.UU.; "ViveMucho" sería nombre perfecto para línea de productos o campaña</t>
  </si>
  <si>
    <t>Se Regalan Dudas – Lety Sahagún y Ashley Frangie</t>
  </si>
  <si>
    <t>Podcast / ecosistema de bienestar</t>
  </si>
  <si>
    <t>Ciudad de México</t>
  </si>
  <si>
    <t>Podcast nº1 en español sobre salud mental, amor propio y relaciones; giras por LatAm</t>
  </si>
  <si>
    <t>Formulario en seregalandudas.com</t>
  </si>
  <si>
    <t>Ecosistema de herramientas para vivir mejor; dominio para comunidad o plataforma</t>
  </si>
  <si>
    <t>be levels – Dr. Antonio Hernández y Rocío Périz</t>
  </si>
  <si>
    <t>Marca de suplementos</t>
  </si>
  <si>
    <t>3.000+ profesionales de la salud la recomiendan; 28 patentes; +20.000 reseñas</t>
  </si>
  <si>
    <t>Formulario en belevels.com</t>
  </si>
  <si>
    <t>Su eslogan "A life worth living" es la traducción exacta del doble sentido de ViveMucho</t>
  </si>
  <si>
    <t>NDL Pro-Health – Rafa Nadal + Cantabria Labs</t>
  </si>
  <si>
    <t>Marca de suplementos y nutrición deportiva</t>
  </si>
  <si>
    <t>Marca de Rafa Nadal; plan de triplicar ingresos y expansión internacional</t>
  </si>
  <si>
    <t>Formulario en ndlprohealth.com</t>
  </si>
  <si>
    <t>En plena expansión al bienestar diario; dominio para campaña en mercado hispano</t>
  </si>
  <si>
    <t>Yaba (Yaba Ventures S.A.)</t>
  </si>
  <si>
    <t>Holding de marcas de bienestar</t>
  </si>
  <si>
    <t>Barcelona (Av. Reina Maria Cristina 9, 08004)</t>
  </si>
  <si>
    <t>Crea y adquiere marcas "para fomentar una vida más larga y plena"</t>
  </si>
  <si>
    <t>contact@yaba.life</t>
  </si>
  <si>
    <t>Su misión corporativa es literalmente "vida más larga y plena" = el doble sentido exacto del dominio; y adquieren marcas</t>
  </si>
  <si>
    <t>Terraflos</t>
  </si>
  <si>
    <t>Consumer science / suplementos de longevidad</t>
  </si>
  <si>
    <t>Argentina / Uruguay</t>
  </si>
  <si>
    <t>Argentina</t>
  </si>
  <si>
    <t>Ronda Pre-Serie A de US$3,5M; valorada en US$85M; marcas Vitalis Navitas y NutriCo</t>
  </si>
  <si>
    <t>Formulario en terraflos.com</t>
  </si>
  <si>
    <t>Startup de longevidad con capital fresco que lanza marcas; comprador natural de dominios de categoría</t>
  </si>
  <si>
    <t>Axia Longevity</t>
  </si>
  <si>
    <t>Startup de suplementos de longevidad</t>
  </si>
  <si>
    <t>Diseña suplementos para mejorar la salud celular</t>
  </si>
  <si>
    <t>No verificado (buscar en su web)</t>
  </si>
  <si>
    <t>Startup de longevidad que necesita posicionamiento y marca en español</t>
  </si>
  <si>
    <t>Dr. Joaquín Blázquez</t>
  </si>
  <si>
    <t>Médico regenerativo / estética funcional</t>
  </si>
  <si>
    <t>Madrid (Calle de Luchana 21, Chamberí)</t>
  </si>
  <si>
    <t>Clínica propia de medicina regenerativa y estética funcional</t>
  </si>
  <si>
    <t>Vía Instagram/web (no verificado)</t>
  </si>
  <si>
    <t>Medicina regenerativa con enfoque en calidad de vida</t>
  </si>
  <si>
    <t>Clínica Keval+ – Dr. Hernández (fundador y director médico)</t>
  </si>
  <si>
    <t>Clínica de medicina integrativa antienvejecimiento</t>
  </si>
  <si>
    <t>Especializado en nutrición, medicina integrativa y antienvejecimiento; presencia en medios</t>
  </si>
  <si>
    <t>No verificado (buscar en web de la clínica)</t>
  </si>
  <si>
    <t>Medicina antienvejecimiento con enfoque en hábitos para sumar años de vida</t>
  </si>
  <si>
    <t>Savvy Nutrición</t>
  </si>
  <si>
    <t>México / EE.UU.</t>
  </si>
  <si>
    <t>Marca de suplementos con el Dr. Carlos Jaramillo como director científico</t>
  </si>
  <si>
    <t>Formulario en youaresavvy.com</t>
  </si>
  <si>
    <t>Marca en crecimiento con respaldo científico; dominio para expansión de marca</t>
  </si>
  <si>
    <t>Adrián Gaspar – Espacio Gaspar</t>
  </si>
  <si>
    <t>Formador en longevidad saludable</t>
  </si>
  <si>
    <t>Dirige diplomado en Longevidad Saludable y Calidad de Vida</t>
  </si>
  <si>
    <t>Vía Instagram (no verificado)</t>
  </si>
  <si>
    <t>Formación en longevidad; dominio para plataforma educativa</t>
  </si>
  <si>
    <t>Iván Zhelyazkov (@muymedico)</t>
  </si>
  <si>
    <t>Médico divulgador</t>
  </si>
  <si>
    <t>+200.000 seguidores en Instagram; apuntes de medicina</t>
  </si>
  <si>
    <t>Divulgación médica con audiencia joven</t>
  </si>
  <si>
    <t>Jonathan Olivera (@soyhumanologo)</t>
  </si>
  <si>
    <t>Influencer de salud y bienestar</t>
  </si>
  <si>
    <t>LatAm</t>
  </si>
  <si>
    <t>Listado entre los top influencers hispanos de salud</t>
  </si>
  <si>
    <t>Contenido de bienestar integral</t>
  </si>
  <si>
    <t>Nota: los campos marcados como "No verificado" están pendientes de confirmar en el sitio oficial del prospecto. Ningún email, teléfono ni cifra de este listado ha sido inventado: todo proviene de la fuente enlazada en la columna N.</t>
  </si>
  <si>
    <t>Dominio</t>
  </si>
  <si>
    <t>Tipo / significado</t>
  </si>
  <si>
    <t>Precio (USD)</t>
  </si>
  <si>
    <t>Fecha</t>
  </si>
  <si>
    <t>Comprador / contexto</t>
  </si>
  <si>
    <t>Relevancia para ViveMucho/VivaMucho</t>
  </si>
  <si>
    <t>Clasificación</t>
  </si>
  <si>
    <t>Viajes.com</t>
  </si>
  <si>
    <t>Palabra genérica española ("viajes")</t>
  </si>
  <si>
    <t>Feb-2015</t>
  </si>
  <si>
    <t>Amado Martín (€400.000); inversor/empresa de viajes</t>
  </si>
  <si>
    <t>Techo del mercado: genérico de categoría masiva. ViveMucho es una frase brandable de dos palabras, vale una fracción de esto</t>
  </si>
  <si>
    <t>Techo</t>
  </si>
  <si>
    <t>www.dnjournal.com</t>
  </si>
  <si>
    <t>Juegos.com</t>
  </si>
  <si>
    <t>Palabra genérica española ("juegos")</t>
  </si>
  <si>
    <t>2000 (venta original; revendido después)</t>
  </si>
  <si>
    <t>Empresa europea de juegos online</t>
  </si>
  <si>
    <t>Techo histórico de los genéricos en español</t>
  </si>
  <si>
    <t>dnjournal.com</t>
  </si>
  <si>
    <t>Vivo.com</t>
  </si>
  <si>
    <t>Palabra española ("vivo" = primera persona de vivir)</t>
  </si>
  <si>
    <t>Sep-2016</t>
  </si>
  <si>
    <t>Vivo, fabricante chino de smartphones (marca idéntica)</t>
  </si>
  <si>
    <t>Muestra el valor de la raíz "viv-" cuando hay comprador estratégico con bolsillo profundo</t>
  </si>
  <si>
    <t>www.namepros.com</t>
  </si>
  <si>
    <t>Club.com</t>
  </si>
  <si>
    <t>Palabra española e inglesa</t>
  </si>
  <si>
    <t>Venta reportada por DNJournal (YTD chart)</t>
  </si>
  <si>
    <t>Contexto del techo absoluto del mercado premium actual</t>
  </si>
  <si>
    <t>Contexto</t>
  </si>
  <si>
    <t>AI.com</t>
  </si>
  <si>
    <t>Genérico premium</t>
  </si>
  <si>
    <t>2025/2026</t>
  </si>
  <si>
    <t>Mayor venta de dominio jamás registrada</t>
  </si>
  <si>
    <t>Solo contexto de mercado; no comparable directo</t>
  </si>
  <si>
    <t>CreditCards.com</t>
  </si>
  <si>
    <t>Keyword comercial inglesa de dos palabras</t>
  </si>
  <si>
    <t>Jul-2004</t>
  </si>
  <si>
    <t>ClickSuccess L.P. (empresa de marketing)</t>
  </si>
  <si>
    <t>Referencia: keywords comerciales de dos palabras en categorías de alto valor</t>
  </si>
  <si>
    <t>Longevity.app</t>
  </si>
  <si>
    <t>Keyword "longevity" en TLD .app</t>
  </si>
  <si>
    <t>Abr-2026</t>
  </si>
  <si>
    <t>Venta en Top.domains reportada por DNJournal</t>
  </si>
  <si>
    <t>Comparable MÁS directo de la temática: la keyword longevidad mueve precios altos; un .com en español de la misma temática vale varias veces un .app</t>
  </si>
  <si>
    <t>Directa</t>
  </si>
  <si>
    <t>Flourish.ai</t>
  </si>
  <si>
    <t>Keyword de bienestar ("flourish") en .ai</t>
  </si>
  <si>
    <t>Venta de Braden Pollock reportada por DNJournal</t>
  </si>
  <si>
    <t>Keywords de bienestar/vida plena alcanzan seis cifras incluso en TLDs alternativos</t>
  </si>
  <si>
    <t>Evan.com</t>
  </si>
  <si>
    <t>Nombre propio brandable</t>
  </si>
  <si>
    <t>Venta reportada por DNJournal</t>
  </si>
  <si>
    <t>Referencia de brandables premium en el mercado actual</t>
  </si>
  <si>
    <t>Enhance.com</t>
  </si>
  <si>
    <t>Palabra de diccionario inglés</t>
  </si>
  <si>
    <t>Nov-2003</t>
  </si>
  <si>
    <t>Subasta Afternic</t>
  </si>
  <si>
    <t>Piso histórico para diccionarios de una palabra en subasta</t>
  </si>
  <si>
    <t>Piso</t>
  </si>
  <si>
    <t>Nota metodológica: ~90% de las ventas de dominios no se reportan públicamente (Domain Holdings). Estas cifras son ventas públicas verificadas y sirven de anclas: los genéricos de una palabra marcan el techo; las keywords temáticas en TLDs alternativos marcan la referencia directa.</t>
  </si>
  <si>
    <t>Valoración de ViveMucho.com / VivaMucho.com — anclaje en ventas reales</t>
  </si>
  <si>
    <t>Ancla</t>
  </si>
  <si>
    <t>Dominio(s) de referencia</t>
  </si>
  <si>
    <t>Interpretación</t>
  </si>
  <si>
    <t>Ancla directa temática</t>
  </si>
  <si>
    <t>Longevity.app / Flourish.ai</t>
  </si>
  <si>
    <t>La temática exacta (longevidad/vida plena) mueve 75K–165K USD incluso en TLDs alternativos; el .com en español es el activo superior de la misma temática</t>
  </si>
  <si>
    <t>Techo genéricos españoles</t>
  </si>
  <si>
    <t>Viajes.com / Vivo.com</t>
  </si>
  <si>
    <t>Genéricos de UNA palabra marcan el techo (0,45–2,1M USD); una frase brandable de dos palabras vale típicamente un 5–15% de esa referencia</t>
  </si>
  <si>
    <t>Descuento dos palabras (hipótesis editable)</t>
  </si>
  <si>
    <t>—</t>
  </si>
  <si>
    <t>Hipótesis central: ViveMucho ≈ 10% del valor de un genérico de una palabra de categoría similar</t>
  </si>
  <si>
    <t>Escenario</t>
  </si>
  <si>
    <t>Supuesto</t>
  </si>
  <si>
    <t>Precio por dominio (USD)</t>
  </si>
  <si>
    <t>Pack 2 dominios (USD)</t>
  </si>
  <si>
    <t>Tipo de comprador típico</t>
  </si>
  <si>
    <t>Conservador (piso)</t>
  </si>
  <si>
    <t>Venta a emprendedor individual o proyecto nuevo, sin competencia de compradores</t>
  </si>
  <si>
    <t>Divulgadores, coaches, proyectos nuevos</t>
  </si>
  <si>
    <t>Central (recomendado)</t>
  </si>
  <si>
    <t>Ancla directa temática × prima .com sobre .app/.ai (1,5×)</t>
  </si>
  <si>
    <t>Marcas de suplementos, autores con negocio, clínicas medianas</t>
  </si>
  <si>
    <t>Optimista (techo realista)</t>
  </si>
  <si>
    <t>Máxima venta directa × prima .com (1,5×)</t>
  </si>
  <si>
    <t>Clínicas premium, holdings de marcas, marcas de TV</t>
  </si>
  <si>
    <t>Estratégico (jackpot)</t>
  </si>
  <si>
    <t>15% de la referencia Vivo.com: solo si aparece un comprador cuya marca ES 'Vive Mucho'</t>
  </si>
  <si>
    <t>Empresa que lance la marca 'Vive Mucho'</t>
  </si>
  <si>
    <t>Nota: el pack de ambos dominios se calcula a 1,8× el precio individual (el segundo dominio funciona como defensivo/redirect y no duplica valor). Todas las cifras se derivan por fórmulas de la hoja Comparables, no de estimaciones cerradas.</t>
  </si>
  <si>
    <t>Recomendación de precio</t>
  </si>
  <si>
    <t>Precio de salida recomendado (listado)</t>
  </si>
  <si>
    <t>Se lista en el techo realista para dejar margen de negociación</t>
  </si>
  <si>
    <t>Rango aceptable de cierre</t>
  </si>
  <si>
    <t>$45,000 – $180,000</t>
  </si>
  <si>
    <t>Piso–central según tipo de comprador</t>
  </si>
  <si>
    <t>No aceptar menos de</t>
  </si>
  <si>
    <t>Por debajo de esto se regala el activo</t>
  </si>
  <si>
    <t>Las tasaciones automáticas (GoDaddy/Estibot) suelen infravalorar los brandables hispanos porque se entrenan con ventas en inglés; por eso el anclaje usa ventas reales de la misma temática. El escenario estratégico NO es precio de salida: solo aplica si aparece un comprador con marca idéntica.</t>
  </si>
  <si>
    <t>Estrategia de salida</t>
  </si>
  <si>
    <t>1. Prioridad</t>
  </si>
  <si>
    <t>Contactar primero a los 15 prospectos de prioridad 'Alta' de la hoja Prospectos: los compradores estratégicos (usuario final) pagan 5–20× más que los inversores de dominios</t>
  </si>
  <si>
    <t>2. Listado pasivo</t>
  </si>
  <si>
    <t>Listar además en Sedo/Afternic/Atom con precio BIN en el techo realista para captar demanda pasiva</t>
  </si>
  <si>
    <t>3. Mensaje</t>
  </si>
  <si>
    <t>El pitch vende el DOBLE sentido: longevidad ('vivir muchos años') + vida plena ('vivir mucho, intensamente')</t>
  </si>
  <si>
    <t>4. Negociación</t>
  </si>
  <si>
    <t>Ofrecer el pack de 2 dominios: el segundo se percibe como regalo defensivo y sube el ticket medio</t>
  </si>
  <si>
    <t>5. Defensa</t>
  </si>
  <si>
    <t>Renovar ambos dominios varios años antes de contactar (señal de no-urgencia)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</si>
</sst>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213" formatCode="$#,##0"/>
  </numFmts>
  <fonts count="9">
    <font>
      <sz val="11"/>
      <color theme="1"/>
      <name val="Calibri"/>
      <scheme val="minor"/>
    </font>
    <font>
      <b/>
      <i val="0"/>
      <sz val="11"/>
      <color rgb="FFFFFFFF"/>
      <name val="Calibri"/>
    </font>
    <font>
      <name val="Calibri"/>
      <scheme val="minor"/>
    </font>
    <font>
      <u/>
      <color rgb="FF0563C1"/>
      <name val="Calibri"/>
      <scheme val="minor"/>
    </font>
    <font>
      <b val="0"/>
      <i/>
      <sz val="10"/>
      <name val="Calibri"/>
    </font>
    <font>
      <b/>
      <i val="0"/>
      <sz val="14"/>
      <color rgb="FFFFFFFF"/>
      <name val="Aptos Narrow"/>
    </font>
    <font>
      <b/>
      <i val="0"/>
      <sz val="11"/>
      <color rgb="FFFFFFFF"/>
      <name val="Aptos Narrow"/>
    </font>
    <font>
      <b val="0"/>
      <i/>
      <sz val="10"/>
      <name val="Aptos Narrow"/>
    </font>
    <font>
      <b/>
      <i val="0"/>
      <sz val="12"/>
      <color rgb="FFFFFFFF"/>
      <name val="Aptos Narrow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AF1F8"/>
      </patternFill>
    </fill>
    <fill>
      <patternFill patternType="solid">
        <fgColor rgb="FFF2F2F2"/>
      </patternFill>
    </fill>
    <fill>
      <patternFill patternType="solid">
        <fgColor rgb="FF2E75B6"/>
      </patternFill>
    </fill>
  </fills>
  <borders count="3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</border>
  </borders>
  <cellStyleXfs count="1">
    <xf numFmtId="0" fontId="0" fillId="0" borderId="1">
      <alignment horizontal="general" vertical="top"/>
    </xf>
  </cellStyleXfs>
  <cellXfs count="19">
    <xf numFmtId="0" fontId="0" fillId="0" borderId="1" xfId="0">
      <alignment vertical="top"/>
    </xf>
    <xf numFmtId="49" fontId="1" fillId="2" borderId="0" xfId="0">
      <alignment horizontal="center" vertical="center"/>
    </xf>
    <xf numFmtId="0" fontId="2" fillId="3" borderId="0" xfId="0">
      <alignment vertical="top"/>
    </xf>
    <xf numFmtId="0" fontId="2" fillId="3" borderId="0" xfId="0">
      <alignment vertical="center"/>
    </xf>
    <xf numFmtId="0" fontId="2" fillId="3" borderId="0" xfId="0">
      <alignment horizontal="center" vertical="center"/>
    </xf>
    <xf numFmtId="0" fontId="3" fillId="3" borderId="0" xfId="0">
      <alignment vertical="center"/>
    </xf>
    <xf numFmtId="0" fontId="2" fillId="0" borderId="0" xfId="0">
      <alignment vertical="center"/>
    </xf>
    <xf numFmtId="0" fontId="2" fillId="0" borderId="0" xfId="0">
      <alignment horizontal="center" vertical="center"/>
    </xf>
    <xf numFmtId="0" fontId="3" fillId="0" borderId="0" xfId="0">
      <alignment vertical="center"/>
    </xf>
    <xf numFmtId="0" fontId="4" fillId="4" borderId="0" xfId="0">
      <alignment vertical="center"/>
    </xf>
    <xf numFmtId="0" fontId="1" fillId="2" borderId="0" xfId="0">
      <alignment horizontal="center" vertical="center"/>
    </xf>
    <xf numFmtId="213" fontId="2" fillId="0" borderId="0" xfId="0">
      <alignment vertical="top"/>
    </xf>
    <xf numFmtId="0" fontId="5" fillId="2" borderId="0" xfId="0">
      <alignment horizontal="center" vertical="center"/>
    </xf>
    <xf numFmtId="0" fontId="6" fillId="5" borderId="0" xfId="0">
      <alignment horizontal="center" vertical="center"/>
    </xf>
    <xf numFmtId="10" fontId="2" fillId="0" borderId="0" xfId="0">
      <alignment vertical="top"/>
    </xf>
    <xf numFmtId="0" fontId="2" fillId="3" borderId="2" xfId="0">
      <alignment vertical="center"/>
    </xf>
    <xf numFmtId="213" fontId="2" fillId="3" borderId="2" xfId="0">
      <alignment vertical="center"/>
    </xf>
    <xf numFmtId="0" fontId="7" fillId="4" borderId="0" xfId="0">
      <alignment vertical="center"/>
    </xf>
    <xf numFmtId="0" fontId="8" fillId="2" borderId="0" xfId="0">
      <alignment horizontal="center" vertical="center"/>
    </xf>
  </cellXfs>
  <cellStyles count="1">
    <cellStyle name="Normal" xfId="0" builtinId="0"/>
  </cellStyles>
  <dxfs count="5">
    <dxf>
      <font>
        <b/>
        <i val="0"/>
        <sz val="11"/>
        <color rgb="FF006100"/>
        <name val="Calibri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ill>
        <patternFill patternType="solid">
          <fgColor rgb="FFBDD7EE"/>
          <bgColor rgb="FFBDD7EE"/>
        </patternFill>
      </fill>
    </dxf>
    <dxf>
      <fill>
        <patternFill patternType="solid">
          <fgColor rgb="FFF2F2F2"/>
          <bgColor rgb="FFF2F2F2"/>
        </patternFill>
      </fill>
    </dxf>
  </dxfs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theme" Target="theme/theme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arget="https://clinicaneleva.com/contacto/" Type="http://schemas.openxmlformats.org/officeDocument/2006/relationships/hyperlink" TargetMode="External"/><Relationship Id="rId2" Target="https://agereversal.es/" Type="http://schemas.openxmlformats.org/officeDocument/2006/relationships/hyperlink" TargetMode="External"/><Relationship Id="rId3" Target="https://shawellness.com/en/contact-us/" Type="http://schemas.openxmlformats.org/officeDocument/2006/relationships/hyperlink" TargetMode="External"/><Relationship Id="rId4" Target="https://www.buchinger-wilhelmi.com/es/buchinger-wilhelmi-marbella/" Type="http://schemas.openxmlformats.org/officeDocument/2006/relationships/hyperlink" TargetMode="External"/><Relationship Id="rId5" Target="https://olympia.quironsalud.com/es/lifestyle-center/unidad-longevidad" Type="http://schemas.openxmlformats.org/officeDocument/2006/relationships/hyperlink" TargetMode="External"/><Relationship Id="rId6" Target="https://www.lonvida.com/" Type="http://schemas.openxmlformats.org/officeDocument/2006/relationships/hyperlink" TargetMode="External"/><Relationship Id="rId7" Target="https://well-ness.care/contacto.html" Type="http://schemas.openxmlformats.org/officeDocument/2006/relationships/hyperlink" TargetMode="External"/><Relationship Id="rId8" Target="https://drjoaqui.com/" Type="http://schemas.openxmlformats.org/officeDocument/2006/relationships/hyperlink" TargetMode="External"/><Relationship Id="rId9" Target="https://www.longevity-institute.com/es" Type="http://schemas.openxmlformats.org/officeDocument/2006/relationships/hyperlink" TargetMode="External"/><Relationship Id="rId10" Target="https://www.instagram.com/reel/DWRX4jXjZOV/" Type="http://schemas.openxmlformats.org/officeDocument/2006/relationships/hyperlink" TargetMode="External"/><Relationship Id="rId11" Target="https://www.fitnessrevolucionario.com/sobre-el-autor/" Type="http://schemas.openxmlformats.org/officeDocument/2006/relationships/hyperlink" TargetMode="External"/><Relationship Id="rId12" Target="https://www.instagram.com/misrecetasanticancer/" Type="http://schemas.openxmlformats.org/officeDocument/2006/relationships/hyperlink" TargetMode="External"/><Relationship Id="rId13" Target="https://www.youtube.com/watch?v=-4ZP7ezWJq8" Type="http://schemas.openxmlformats.org/officeDocument/2006/relationships/hyperlink" TargetMode="External"/><Relationship Id="rId14" Target="https://www.fitnessrevolucionario.com/2017/01/25/episodio-81-mitos-de-nutricion-y-recomendaciones-para-comer-mejor-con-aitor-sanchez/" Type="http://schemas.openxmlformats.org/officeDocument/2006/relationships/hyperlink" TargetMode="External"/><Relationship Id="rId15" Target="https://www.instagram.com/nutritionisthenewblack/" Type="http://schemas.openxmlformats.org/officeDocument/2006/relationships/hyperlink" TargetMode="External"/><Relationship Id="rId16" Target="https://www.drasariarponen.com/" Type="http://schemas.openxmlformats.org/officeDocument/2006/relationships/hyperlink" TargetMode="External"/><Relationship Id="rId17" Target="https://www.instagram.com/marioalonsopuig/" Type="http://schemas.openxmlformats.org/officeDocument/2006/relationships/hyperlink" TargetMode="External"/><Relationship Id="rId18" Target="https://www.sabervivirtv.com/bienestar/las-claves-de-la-felicidad-de-marian-rojas-estape-luis-rojas-marcos-mario-alonso-puig_12238" Type="http://schemas.openxmlformats.org/officeDocument/2006/relationships/hyperlink" TargetMode="External"/><Relationship Id="rId19" Target="https://www.instagram.com/anaibanez_g/" Type="http://schemas.openxmlformats.org/officeDocument/2006/relationships/hyperlink" TargetMode="External"/><Relationship Id="rId20" Target="https://gymvirtual.com/contacto/" Type="http://schemas.openxmlformats.org/officeDocument/2006/relationships/hyperlink" TargetMode="External"/><Relationship Id="rId21" Target="https://www.instagram.com/doctorbayter/" Type="http://schemas.openxmlformats.org/officeDocument/2006/relationships/hyperlink" TargetMode="External"/><Relationship Id="rId22" Target="https://drcarlosjaramillo.com/contacto/" Type="http://schemas.openxmlformats.org/officeDocument/2006/relationships/hyperlink" TargetMode="External"/><Relationship Id="rId23" Target="https://misantoremedio.com/" Type="http://schemas.openxmlformats.org/officeDocument/2006/relationships/hyperlink" TargetMode="External"/><Relationship Id="rId24" Target="https://www.seregalandudas.com/lety-y-ash" Type="http://schemas.openxmlformats.org/officeDocument/2006/relationships/hyperlink" TargetMode="External"/><Relationship Id="rId25" Target="https://belevels.com/" Type="http://schemas.openxmlformats.org/officeDocument/2006/relationships/hyperlink" TargetMode="External"/><Relationship Id="rId26" Target="https://cincodias.elpais.com/companias/2025-08-29/la-empresa-de-rafa-nadal-de-complementos-alimenticios-pierde-19-millones-en-su-primer-ano.html" Type="http://schemas.openxmlformats.org/officeDocument/2006/relationships/hyperlink" TargetMode="External"/><Relationship Id="rId27" Target="https://yaba.life/es/about-us" Type="http://schemas.openxmlformats.org/officeDocument/2006/relationships/hyperlink" TargetMode="External"/><Relationship Id="rId28" Target="https://www.forbesargentina.com/innovacion/terraflos-apuesta-longevidad-levanta-us-35-millones-combinar-ia-biotecnologia-biodiversidad-latinoamericana-n93167/" Type="http://schemas.openxmlformats.org/officeDocument/2006/relationships/hyperlink" TargetMode="External"/><Relationship Id="rId29" Target="https://emprendedores.es/ideas-de-negocio/oportunidades-de-negocio/startups-que-trabajan-para-revertir-el-envejecimiento/" Type="http://schemas.openxmlformats.org/officeDocument/2006/relationships/hyperlink" TargetMode="External"/><Relationship Id="rId30" Target="https://www.instagram.com/reel/DVeQGq5DeGQ/" Type="http://schemas.openxmlformats.org/officeDocument/2006/relationships/hyperlink" TargetMode="External"/><Relationship Id="rId31" Target="https://www.youtube.com/watch?v=00CfvTHqF6M" Type="http://schemas.openxmlformats.org/officeDocument/2006/relationships/hyperlink" TargetMode="External"/><Relationship Id="rId32" Target="https://www.youaresavvy.com/pages/carlos-jaramillo-director-cientifico-savvy" Type="http://schemas.openxmlformats.org/officeDocument/2006/relationships/hyperlink" TargetMode="External"/><Relationship Id="rId33" Target="https://www.instagram.com/reel/C2RF-KjNoqj/" Type="http://schemas.openxmlformats.org/officeDocument/2006/relationships/hyperlink" TargetMode="External"/><Relationship Id="rId34" Target="https://psicologiaymente.com/directorio/es/rankings/mejores-influencers-salud" Type="http://schemas.openxmlformats.org/officeDocument/2006/relationships/hyperlink" TargetMode="External"/><Relationship Id="rId35" Target="https://brandme.la/influencers-de-salud/" Type="http://schemas.openxmlformats.org/officeDocument/2006/relationships/hyperlink" TargetMode="External"/></Relationships>
</file>

<file path=xl/worksheets/_rels/sheet2.xml.rels><?xml version="1.0" encoding="UTF-8" standalone="yes"?>
<Relationships xmlns="http://schemas.openxmlformats.org/package/2006/relationships"><Relationship Id="rId1" Target="https://www.dnjournal.com/articles/companies/2015/viajes.com.htm" Type="http://schemas.openxmlformats.org/officeDocument/2006/relationships/hyperlink" TargetMode="External"/><Relationship Id="rId2" Target="https://dnjournal.com/articles/cctld/spanishmarket.htm" Type="http://schemas.openxmlformats.org/officeDocument/2006/relationships/hyperlink" TargetMode="External"/><Relationship Id="rId3" Target="https://www.namepros.com/blog/why-did-vivo-pay-2-1-million-for-vivo-com.982734/" Type="http://schemas.openxmlformats.org/officeDocument/2006/relationships/hyperlink" TargetMode="External"/><Relationship Id="rId4" Target="https://www.dnjournal.com/ytd-sales-charts.htm" Type="http://schemas.openxmlformats.org/officeDocument/2006/relationships/hyperlink" TargetMode="External"/><Relationship Id="rId5" Target="https://www.dnjournal.com/" Type="http://schemas.openxmlformats.org/officeDocument/2006/relationships/hyperlink" TargetMode="External"/><Relationship Id="rId6" Target="https://www.dnjournal.com/archive/domainsales/2004/domainsales07_27_04.htm" Type="http://schemas.openxmlformats.org/officeDocument/2006/relationships/hyperlink" TargetMode="External"/><Relationship Id="rId7" Target="https://www.dnjournal.com/ytd-sales-charts.htm" Type="http://schemas.openxmlformats.org/officeDocument/2006/relationships/hyperlink" TargetMode="External"/><Relationship Id="rId8" Target="https://www.dnjournal.com/ytd-sales-charts.htm" Type="http://schemas.openxmlformats.org/officeDocument/2006/relationships/hyperlink" TargetMode="External"/><Relationship Id="rId9" Target="https://www.dnjournal.com/domainsales.htm" Type="http://schemas.openxmlformats.org/officeDocument/2006/relationships/hyperlink" TargetMode="External"/><Relationship Id="rId10" Target="https://www.dnjournal.com/archive/domainsales/2003/domainsales11_04_03.htm" Type="http://schemas.openxmlformats.org/officeDocument/2006/relationships/hyper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5020B5AB-6C88-B6BB-8807-268DD6BC79B9}" mc:Ignorable="x14ac xr xr2 xr3">
  <dimension ref="A1:GR1000"/>
  <sheetViews>
    <sheetView topLeftCell="A1" workbookViewId="0" tabSelected="1">
      <pane ySplit="1" topLeftCell="A5" activePane="bottomLeft" state="frozen"/>
      <selection pane="bottomLeft" activeCell="A1" sqref="A1"/>
    </sheetView>
  </sheetViews>
  <sheetFormatPr defaultRowHeight="15" defaultColWidth="8.8515625" customHeight="1"/>
  <cols>
    <col min="1" max="1" width="5.7109375" customWidth="1"/>
    <col min="2" max="2" width="34.28125" customWidth="1"/>
    <col min="3" max="3" width="28.57421875" customWidth="1"/>
    <col min="4" max="4" width="15.7109375" customWidth="1"/>
    <col min="5" max="5" width="31.421875" customWidth="1"/>
    <col min="6" max="6" width="42.8515625" customWidth="1"/>
    <col min="7" max="7" width="40.00390625" customWidth="1"/>
    <col min="8" max="8" width="48.57421875" customWidth="1"/>
    <col min="9" max="9" width="10.7109375" customWidth="1"/>
    <col min="10" max="10" width="10.00390625" customWidth="1"/>
    <col min="11" max="13" width="11.421875" customWidth="1"/>
    <col min="14" max="14" width="17.140625" customWidth="1"/>
  </cols>
  <sheetData>
    <row r="1" ht="3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15" customHeight="1">
      <c r="A2" s="2">
        <v>1</v>
      </c>
      <c r="B2" s="3" t="s">
        <v>14</v>
      </c>
      <c r="C2" s="3" t="s">
        <v>15</v>
      </c>
      <c r="D2" s="2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4">
        <v>5</v>
      </c>
      <c r="J2" s="4">
        <v>5</v>
      </c>
      <c r="K2" s="4">
        <v>2</v>
      </c>
      <c r="L2" s="4">
        <f t="shared" si="0" ref="L2:L36">I2+J2+K2</f>
        <v>12</v>
      </c>
      <c r="M2" s="4" t="str">
        <f t="shared" si="1" ref="M2:M36">IF(L2&gt;=10,"Alta",IF(L2&gt;=7,"Media","Baja"))</f>
        <v>Alta</v>
      </c>
      <c r="N2" s="5" t="s">
        <v>13</v>
      </c>
    </row>
    <row r="3" ht="15" customHeight="1">
      <c r="A3">
        <v>2</v>
      </c>
      <c r="B3" s="6" t="s">
        <v>22</v>
      </c>
      <c r="C3" s="6" t="s">
        <v>23</v>
      </c>
      <c r="D3" t="s">
        <v>16</v>
      </c>
      <c r="E3" s="6" t="s">
        <v>24</v>
      </c>
      <c r="F3" s="6" t="s">
        <v>25</v>
      </c>
      <c r="G3" s="6" t="s">
        <v>26</v>
      </c>
      <c r="H3" s="6" t="s">
        <v>27</v>
      </c>
      <c r="I3" s="7">
        <v>5</v>
      </c>
      <c r="J3" s="7">
        <v>4</v>
      </c>
      <c r="K3" s="7">
        <v>2</v>
      </c>
      <c r="L3" s="7">
        <f t="shared" si="0"/>
        <v>11</v>
      </c>
      <c r="M3" s="7" t="str">
        <f t="shared" si="1"/>
        <v>Alta</v>
      </c>
      <c r="N3" s="8" t="s">
        <v>13</v>
      </c>
    </row>
    <row r="4" ht="15" customHeight="1">
      <c r="A4" s="2">
        <v>3</v>
      </c>
      <c r="B4" s="3" t="s">
        <v>28</v>
      </c>
      <c r="C4" s="3" t="s">
        <v>29</v>
      </c>
      <c r="D4" s="2" t="s">
        <v>16</v>
      </c>
      <c r="E4" s="3" t="s">
        <v>30</v>
      </c>
      <c r="F4" s="3" t="s">
        <v>31</v>
      </c>
      <c r="G4" s="3" t="s">
        <v>32</v>
      </c>
      <c r="H4" s="3" t="s">
        <v>33</v>
      </c>
      <c r="I4" s="4">
        <v>4</v>
      </c>
      <c r="J4" s="4">
        <v>5</v>
      </c>
      <c r="K4" s="4">
        <v>2</v>
      </c>
      <c r="L4" s="4">
        <f t="shared" si="0"/>
        <v>11</v>
      </c>
      <c r="M4" s="4" t="str">
        <f t="shared" si="1"/>
        <v>Alta</v>
      </c>
      <c r="N4" s="5" t="s">
        <v>13</v>
      </c>
    </row>
    <row r="5" ht="15" customHeight="1">
      <c r="A5">
        <v>4</v>
      </c>
      <c r="B5" s="6" t="s">
        <v>34</v>
      </c>
      <c r="C5" s="6" t="s">
        <v>35</v>
      </c>
      <c r="D5" t="s">
        <v>16</v>
      </c>
      <c r="E5" s="6" t="s">
        <v>36</v>
      </c>
      <c r="F5" s="6" t="s">
        <v>37</v>
      </c>
      <c r="G5" s="6" t="s">
        <v>38</v>
      </c>
      <c r="H5" s="6" t="s">
        <v>39</v>
      </c>
      <c r="I5" s="7">
        <v>4</v>
      </c>
      <c r="J5" s="7">
        <v>4</v>
      </c>
      <c r="K5" s="7">
        <v>2</v>
      </c>
      <c r="L5" s="7">
        <f t="shared" si="0"/>
        <v>10</v>
      </c>
      <c r="M5" s="7" t="str">
        <f t="shared" si="1"/>
        <v>Alta</v>
      </c>
      <c r="N5" s="8" t="s">
        <v>13</v>
      </c>
    </row>
    <row r="6" ht="15" customHeight="1">
      <c r="A6" s="2">
        <v>5</v>
      </c>
      <c r="B6" s="3" t="s">
        <v>40</v>
      </c>
      <c r="C6" s="3" t="s">
        <v>41</v>
      </c>
      <c r="D6" s="2" t="s">
        <v>16</v>
      </c>
      <c r="E6" s="3" t="s">
        <v>42</v>
      </c>
      <c r="F6" s="3" t="s">
        <v>43</v>
      </c>
      <c r="G6" s="3" t="s">
        <v>44</v>
      </c>
      <c r="H6" s="3" t="s">
        <v>45</v>
      </c>
      <c r="I6" s="4">
        <v>4</v>
      </c>
      <c r="J6" s="4">
        <v>4</v>
      </c>
      <c r="K6" s="4">
        <v>1</v>
      </c>
      <c r="L6" s="4">
        <f t="shared" si="0"/>
        <v>9</v>
      </c>
      <c r="M6" s="4" t="str">
        <f t="shared" si="1"/>
        <v>Media</v>
      </c>
      <c r="N6" s="5" t="s">
        <v>13</v>
      </c>
    </row>
    <row r="7" ht="15" customHeight="1">
      <c r="A7">
        <v>6</v>
      </c>
      <c r="B7" s="6" t="s">
        <v>47</v>
      </c>
      <c r="C7" s="6" t="s">
        <v>48</v>
      </c>
      <c r="D7" t="s">
        <v>49</v>
      </c>
      <c r="E7" s="6" t="s">
        <v>50</v>
      </c>
      <c r="F7" s="6" t="s">
        <v>51</v>
      </c>
      <c r="G7" s="6" t="s">
        <v>52</v>
      </c>
      <c r="H7" s="6" t="s">
        <v>53</v>
      </c>
      <c r="I7" s="7">
        <v>5</v>
      </c>
      <c r="J7" s="7">
        <v>4</v>
      </c>
      <c r="K7" s="7">
        <v>2</v>
      </c>
      <c r="L7" s="7">
        <f t="shared" si="0"/>
        <v>11</v>
      </c>
      <c r="M7" s="7" t="str">
        <f t="shared" si="1"/>
        <v>Alta</v>
      </c>
      <c r="N7" s="8" t="s">
        <v>13</v>
      </c>
    </row>
    <row r="8" ht="15" customHeight="1">
      <c r="A8" s="2">
        <v>7</v>
      </c>
      <c r="B8" s="3" t="s">
        <v>54</v>
      </c>
      <c r="C8" s="3" t="s">
        <v>55</v>
      </c>
      <c r="D8" s="2" t="s">
        <v>56</v>
      </c>
      <c r="E8" s="3" t="s">
        <v>57</v>
      </c>
      <c r="F8" s="3" t="s">
        <v>58</v>
      </c>
      <c r="G8" s="3" t="s">
        <v>59</v>
      </c>
      <c r="H8" s="3" t="s">
        <v>60</v>
      </c>
      <c r="I8" s="4">
        <v>5</v>
      </c>
      <c r="J8" s="4">
        <v>3</v>
      </c>
      <c r="K8" s="4">
        <v>2</v>
      </c>
      <c r="L8" s="4">
        <f t="shared" si="0"/>
        <v>10</v>
      </c>
      <c r="M8" s="4" t="str">
        <f t="shared" si="1"/>
        <v>Alta</v>
      </c>
      <c r="N8" s="5" t="s">
        <v>13</v>
      </c>
    </row>
    <row r="9" ht="15" customHeight="1">
      <c r="A9">
        <v>8</v>
      </c>
      <c r="B9" s="6" t="s">
        <v>61</v>
      </c>
      <c r="C9" s="6" t="s">
        <v>62</v>
      </c>
      <c r="D9" t="s">
        <v>56</v>
      </c>
      <c r="E9" s="6" t="s">
        <v>63</v>
      </c>
      <c r="F9" s="6" t="s">
        <v>64</v>
      </c>
      <c r="G9" s="6" t="s">
        <v>65</v>
      </c>
      <c r="H9" s="6" t="s">
        <v>66</v>
      </c>
      <c r="I9" s="7">
        <v>4</v>
      </c>
      <c r="J9" s="7">
        <v>3</v>
      </c>
      <c r="K9" s="7">
        <v>1</v>
      </c>
      <c r="L9" s="7">
        <f t="shared" si="0"/>
        <v>8</v>
      </c>
      <c r="M9" s="7" t="str">
        <f t="shared" si="1"/>
        <v>Media</v>
      </c>
      <c r="N9" s="8" t="s">
        <v>13</v>
      </c>
    </row>
    <row r="10" ht="15" customHeight="1">
      <c r="A10" s="2">
        <v>9</v>
      </c>
      <c r="B10" s="3" t="s">
        <v>67</v>
      </c>
      <c r="C10" s="3" t="s">
        <v>68</v>
      </c>
      <c r="D10" s="2" t="s">
        <v>49</v>
      </c>
      <c r="E10" s="3" t="s">
        <v>49</v>
      </c>
      <c r="F10" s="3" t="s">
        <v>69</v>
      </c>
      <c r="G10" s="3" t="s">
        <v>70</v>
      </c>
      <c r="H10" s="3" t="s">
        <v>71</v>
      </c>
      <c r="I10" s="4">
        <v>4</v>
      </c>
      <c r="J10" s="4">
        <v>3</v>
      </c>
      <c r="K10" s="4">
        <v>1</v>
      </c>
      <c r="L10" s="4">
        <f t="shared" si="0"/>
        <v>8</v>
      </c>
      <c r="M10" s="4" t="str">
        <f t="shared" si="1"/>
        <v>Media</v>
      </c>
      <c r="N10" s="5" t="s">
        <v>13</v>
      </c>
    </row>
    <row r="11" ht="15" customHeight="1">
      <c r="A11">
        <v>10</v>
      </c>
      <c r="B11" s="6" t="s">
        <v>72</v>
      </c>
      <c r="C11" s="6" t="s">
        <v>73</v>
      </c>
      <c r="D11" t="s">
        <v>74</v>
      </c>
      <c r="E11" s="6" t="s">
        <v>75</v>
      </c>
      <c r="F11" s="6" t="s">
        <v>76</v>
      </c>
      <c r="G11" s="6" t="s">
        <v>77</v>
      </c>
      <c r="H11" s="6" t="s">
        <v>78</v>
      </c>
      <c r="I11" s="7">
        <v>3</v>
      </c>
      <c r="J11" s="7">
        <v>2</v>
      </c>
      <c r="K11" s="7">
        <v>1</v>
      </c>
      <c r="L11" s="7">
        <f t="shared" si="0"/>
        <v>6</v>
      </c>
      <c r="M11" s="7" t="str">
        <f t="shared" si="1"/>
        <v>Baja</v>
      </c>
      <c r="N11" s="8" t="s">
        <v>13</v>
      </c>
    </row>
    <row r="12" ht="15" customHeight="1">
      <c r="A12" s="2">
        <v>11</v>
      </c>
      <c r="B12" s="3" t="s">
        <v>80</v>
      </c>
      <c r="C12" s="3" t="s">
        <v>81</v>
      </c>
      <c r="D12" s="2" t="s">
        <v>16</v>
      </c>
      <c r="E12" s="3" t="s">
        <v>82</v>
      </c>
      <c r="F12" s="3" t="s">
        <v>83</v>
      </c>
      <c r="G12" s="3" t="s">
        <v>84</v>
      </c>
      <c r="H12" s="3" t="s">
        <v>85</v>
      </c>
      <c r="I12" s="4">
        <v>5</v>
      </c>
      <c r="J12" s="4">
        <v>5</v>
      </c>
      <c r="K12" s="4">
        <v>2</v>
      </c>
      <c r="L12" s="4">
        <f t="shared" si="0"/>
        <v>12</v>
      </c>
      <c r="M12" s="4" t="str">
        <f t="shared" si="1"/>
        <v>Alta</v>
      </c>
      <c r="N12" s="5" t="s">
        <v>13</v>
      </c>
    </row>
    <row r="13" ht="15" customHeight="1">
      <c r="A13">
        <v>12</v>
      </c>
      <c r="B13" s="6" t="s">
        <v>86</v>
      </c>
      <c r="C13" s="6" t="s">
        <v>87</v>
      </c>
      <c r="D13" t="s">
        <v>16</v>
      </c>
      <c r="E13" s="6" t="s">
        <v>16</v>
      </c>
      <c r="F13" s="6" t="s">
        <v>88</v>
      </c>
      <c r="G13" s="6" t="s">
        <v>89</v>
      </c>
      <c r="H13" s="6" t="s">
        <v>90</v>
      </c>
      <c r="I13" s="7">
        <v>4</v>
      </c>
      <c r="J13" s="7">
        <v>4</v>
      </c>
      <c r="K13" s="7">
        <v>2</v>
      </c>
      <c r="L13" s="7">
        <f t="shared" si="0"/>
        <v>10</v>
      </c>
      <c r="M13" s="7" t="str">
        <f t="shared" si="1"/>
        <v>Alta</v>
      </c>
      <c r="N13" s="8" t="s">
        <v>13</v>
      </c>
    </row>
    <row r="14" ht="15" customHeight="1">
      <c r="A14" s="2">
        <v>13</v>
      </c>
      <c r="B14" s="3" t="s">
        <v>91</v>
      </c>
      <c r="C14" s="3" t="s">
        <v>92</v>
      </c>
      <c r="D14" s="2" t="s">
        <v>16</v>
      </c>
      <c r="E14" s="3" t="s">
        <v>93</v>
      </c>
      <c r="F14" s="3" t="s">
        <v>94</v>
      </c>
      <c r="G14" s="3" t="s">
        <v>95</v>
      </c>
      <c r="H14" s="3" t="s">
        <v>96</v>
      </c>
      <c r="I14" s="4">
        <v>4</v>
      </c>
      <c r="J14" s="4">
        <v>5</v>
      </c>
      <c r="K14" s="4"/>
      <c r="L14" s="4">
        <f t="shared" si="0"/>
        <v>9</v>
      </c>
      <c r="M14" s="4" t="str">
        <f t="shared" si="1"/>
        <v>Media</v>
      </c>
      <c r="N14" s="5" t="s">
        <v>13</v>
      </c>
    </row>
    <row r="15" ht="15" customHeight="1">
      <c r="A15">
        <v>14</v>
      </c>
      <c r="B15" s="6" t="s">
        <v>97</v>
      </c>
      <c r="C15" s="6" t="s">
        <v>98</v>
      </c>
      <c r="D15" t="s">
        <v>16</v>
      </c>
      <c r="E15" s="6" t="s">
        <v>16</v>
      </c>
      <c r="F15" s="6" t="s">
        <v>99</v>
      </c>
      <c r="G15" s="6" t="s">
        <v>100</v>
      </c>
      <c r="H15" s="6" t="s">
        <v>101</v>
      </c>
      <c r="I15" s="7">
        <v>3</v>
      </c>
      <c r="J15" s="7">
        <v>4</v>
      </c>
      <c r="K15" s="7"/>
      <c r="L15" s="7">
        <f t="shared" si="0"/>
        <v>7</v>
      </c>
      <c r="M15" s="7" t="str">
        <f t="shared" si="1"/>
        <v>Media</v>
      </c>
      <c r="N15" s="8" t="s">
        <v>13</v>
      </c>
    </row>
    <row r="16" ht="15" customHeight="1">
      <c r="A16" s="2">
        <v>15</v>
      </c>
      <c r="B16" s="3" t="s">
        <v>102</v>
      </c>
      <c r="C16" s="3" t="s">
        <v>103</v>
      </c>
      <c r="D16" s="2" t="s">
        <v>104</v>
      </c>
      <c r="E16" s="3" t="s">
        <v>16</v>
      </c>
      <c r="F16" s="3" t="s">
        <v>105</v>
      </c>
      <c r="G16" s="3" t="s">
        <v>106</v>
      </c>
      <c r="H16" s="3" t="s">
        <v>107</v>
      </c>
      <c r="I16" s="4">
        <v>3</v>
      </c>
      <c r="J16" s="4">
        <v>4</v>
      </c>
      <c r="K16" s="4">
        <v>1</v>
      </c>
      <c r="L16" s="4">
        <f t="shared" si="0"/>
        <v>8</v>
      </c>
      <c r="M16" s="4" t="str">
        <f t="shared" si="1"/>
        <v>Media</v>
      </c>
      <c r="N16" s="5" t="s">
        <v>13</v>
      </c>
    </row>
    <row r="17" ht="15" customHeight="1">
      <c r="A17">
        <v>16</v>
      </c>
      <c r="B17" s="6" t="s">
        <v>108</v>
      </c>
      <c r="C17" s="6" t="s">
        <v>109</v>
      </c>
      <c r="D17" t="s">
        <v>16</v>
      </c>
      <c r="E17" s="6" t="s">
        <v>42</v>
      </c>
      <c r="F17" s="6" t="s">
        <v>110</v>
      </c>
      <c r="G17" s="6" t="s">
        <v>111</v>
      </c>
      <c r="H17" s="6" t="s">
        <v>112</v>
      </c>
      <c r="I17" s="7">
        <v>3</v>
      </c>
      <c r="J17" s="7">
        <v>4</v>
      </c>
      <c r="K17" s="7">
        <v>1</v>
      </c>
      <c r="L17" s="7">
        <f t="shared" si="0"/>
        <v>8</v>
      </c>
      <c r="M17" s="7" t="str">
        <f t="shared" si="1"/>
        <v>Media</v>
      </c>
      <c r="N17" s="8" t="s">
        <v>13</v>
      </c>
    </row>
    <row r="18" ht="15" customHeight="1">
      <c r="A18" s="2">
        <v>17</v>
      </c>
      <c r="B18" s="3" t="s">
        <v>113</v>
      </c>
      <c r="C18" s="3" t="s">
        <v>114</v>
      </c>
      <c r="D18" s="2" t="s">
        <v>16</v>
      </c>
      <c r="E18" s="3" t="s">
        <v>42</v>
      </c>
      <c r="F18" s="3" t="s">
        <v>115</v>
      </c>
      <c r="G18" s="3" t="s">
        <v>116</v>
      </c>
      <c r="H18" s="3" t="s">
        <v>117</v>
      </c>
      <c r="I18" s="4">
        <v>4</v>
      </c>
      <c r="J18" s="4">
        <v>5</v>
      </c>
      <c r="K18" s="4">
        <v>1</v>
      </c>
      <c r="L18" s="4">
        <f t="shared" si="0"/>
        <v>10</v>
      </c>
      <c r="M18" s="4" t="str">
        <f t="shared" si="1"/>
        <v>Alta</v>
      </c>
      <c r="N18" s="5" t="s">
        <v>13</v>
      </c>
    </row>
    <row r="19" ht="15" customHeight="1">
      <c r="A19">
        <v>18</v>
      </c>
      <c r="B19" s="6" t="s">
        <v>118</v>
      </c>
      <c r="C19" s="6" t="s">
        <v>119</v>
      </c>
      <c r="D19" t="s">
        <v>16</v>
      </c>
      <c r="E19" s="6" t="s">
        <v>42</v>
      </c>
      <c r="F19" s="6" t="s">
        <v>120</v>
      </c>
      <c r="G19" s="6" t="s">
        <v>121</v>
      </c>
      <c r="H19" s="6" t="s">
        <v>122</v>
      </c>
      <c r="I19" s="7">
        <v>3</v>
      </c>
      <c r="J19" s="7">
        <v>5</v>
      </c>
      <c r="K19" s="7"/>
      <c r="L19" s="7">
        <f t="shared" si="0"/>
        <v>8</v>
      </c>
      <c r="M19" s="7" t="str">
        <f t="shared" si="1"/>
        <v>Media</v>
      </c>
      <c r="N19" s="8" t="s">
        <v>13</v>
      </c>
    </row>
    <row r="20" ht="15" customHeight="1">
      <c r="A20" s="2">
        <v>19</v>
      </c>
      <c r="B20" s="3" t="s">
        <v>123</v>
      </c>
      <c r="C20" s="3" t="s">
        <v>124</v>
      </c>
      <c r="D20" s="2" t="s">
        <v>16</v>
      </c>
      <c r="E20" s="3" t="s">
        <v>125</v>
      </c>
      <c r="F20" s="3" t="s">
        <v>126</v>
      </c>
      <c r="G20" s="3" t="s">
        <v>127</v>
      </c>
      <c r="H20" s="3" t="s">
        <v>128</v>
      </c>
      <c r="I20" s="4">
        <v>3</v>
      </c>
      <c r="J20" s="4">
        <v>3</v>
      </c>
      <c r="K20" s="4">
        <v>2</v>
      </c>
      <c r="L20" s="4">
        <f t="shared" si="0"/>
        <v>8</v>
      </c>
      <c r="M20" s="4" t="str">
        <f t="shared" si="1"/>
        <v>Media</v>
      </c>
      <c r="N20" s="5" t="s">
        <v>13</v>
      </c>
    </row>
    <row r="21" ht="15" customHeight="1">
      <c r="A21">
        <v>20</v>
      </c>
      <c r="B21" s="6" t="s">
        <v>129</v>
      </c>
      <c r="C21" s="6" t="s">
        <v>130</v>
      </c>
      <c r="D21" t="s">
        <v>131</v>
      </c>
      <c r="E21" s="6" t="s">
        <v>132</v>
      </c>
      <c r="F21" s="6" t="s">
        <v>133</v>
      </c>
      <c r="G21" s="6" t="s">
        <v>134</v>
      </c>
      <c r="H21" s="6" t="s">
        <v>135</v>
      </c>
      <c r="I21" s="7">
        <v>4</v>
      </c>
      <c r="J21" s="7">
        <v>5</v>
      </c>
      <c r="K21" s="7">
        <v>2</v>
      </c>
      <c r="L21" s="7">
        <f t="shared" si="0"/>
        <v>11</v>
      </c>
      <c r="M21" s="7" t="str">
        <f t="shared" si="1"/>
        <v>Alta</v>
      </c>
      <c r="N21" s="8" t="s">
        <v>13</v>
      </c>
    </row>
    <row r="22" ht="15" customHeight="1">
      <c r="A22" s="2">
        <v>21</v>
      </c>
      <c r="B22" s="3" t="s">
        <v>136</v>
      </c>
      <c r="C22" s="3" t="s">
        <v>137</v>
      </c>
      <c r="D22" s="2" t="s">
        <v>56</v>
      </c>
      <c r="E22" s="3" t="s">
        <v>138</v>
      </c>
      <c r="F22" s="3" t="s">
        <v>139</v>
      </c>
      <c r="G22" s="3" t="s">
        <v>140</v>
      </c>
      <c r="H22" s="3" t="s">
        <v>141</v>
      </c>
      <c r="I22" s="4">
        <v>4</v>
      </c>
      <c r="J22" s="4">
        <v>5</v>
      </c>
      <c r="K22" s="4">
        <v>2</v>
      </c>
      <c r="L22" s="4">
        <f t="shared" si="0"/>
        <v>11</v>
      </c>
      <c r="M22" s="4" t="str">
        <f t="shared" si="1"/>
        <v>Alta</v>
      </c>
      <c r="N22" s="5" t="s">
        <v>13</v>
      </c>
    </row>
    <row r="23" ht="15" customHeight="1">
      <c r="A23">
        <v>22</v>
      </c>
      <c r="B23" s="6" t="s">
        <v>142</v>
      </c>
      <c r="C23" s="6" t="s">
        <v>143</v>
      </c>
      <c r="D23" t="s">
        <v>56</v>
      </c>
      <c r="E23" s="6" t="s">
        <v>144</v>
      </c>
      <c r="F23" s="6" t="s">
        <v>145</v>
      </c>
      <c r="G23" s="6" t="s">
        <v>146</v>
      </c>
      <c r="H23" s="6" t="s">
        <v>147</v>
      </c>
      <c r="I23" s="7">
        <v>5</v>
      </c>
      <c r="J23" s="7">
        <v>5</v>
      </c>
      <c r="K23" s="7">
        <v>2</v>
      </c>
      <c r="L23" s="7">
        <f t="shared" si="0"/>
        <v>12</v>
      </c>
      <c r="M23" s="7" t="str">
        <f t="shared" si="1"/>
        <v>Alta</v>
      </c>
      <c r="N23" s="8" t="s">
        <v>13</v>
      </c>
    </row>
    <row r="24" ht="15" customHeight="1">
      <c r="A24" s="2">
        <v>23</v>
      </c>
      <c r="B24" s="3" t="s">
        <v>148</v>
      </c>
      <c r="C24" s="3" t="s">
        <v>149</v>
      </c>
      <c r="D24" s="2" t="s">
        <v>150</v>
      </c>
      <c r="E24" s="3" t="s">
        <v>151</v>
      </c>
      <c r="F24" s="3" t="s">
        <v>152</v>
      </c>
      <c r="G24" s="3" t="s">
        <v>153</v>
      </c>
      <c r="H24" s="3" t="s">
        <v>154</v>
      </c>
      <c r="I24" s="4">
        <v>5</v>
      </c>
      <c r="J24" s="4">
        <v>5</v>
      </c>
      <c r="K24" s="4">
        <v>2</v>
      </c>
      <c r="L24" s="4">
        <f t="shared" si="0"/>
        <v>12</v>
      </c>
      <c r="M24" s="4" t="str">
        <f t="shared" si="1"/>
        <v>Alta</v>
      </c>
      <c r="N24" s="5" t="s">
        <v>13</v>
      </c>
    </row>
    <row r="25" ht="15" customHeight="1">
      <c r="A25">
        <v>24</v>
      </c>
      <c r="B25" s="6" t="s">
        <v>155</v>
      </c>
      <c r="C25" s="6" t="s">
        <v>156</v>
      </c>
      <c r="D25" t="s">
        <v>49</v>
      </c>
      <c r="E25" s="6" t="s">
        <v>157</v>
      </c>
      <c r="F25" s="6" t="s">
        <v>158</v>
      </c>
      <c r="G25" s="6" t="s">
        <v>159</v>
      </c>
      <c r="H25" s="6" t="s">
        <v>160</v>
      </c>
      <c r="I25" s="7">
        <v>3</v>
      </c>
      <c r="J25" s="7">
        <v>5</v>
      </c>
      <c r="K25" s="7">
        <v>1</v>
      </c>
      <c r="L25" s="7">
        <f t="shared" si="0"/>
        <v>9</v>
      </c>
      <c r="M25" s="7" t="str">
        <f t="shared" si="1"/>
        <v>Media</v>
      </c>
      <c r="N25" s="8" t="s">
        <v>13</v>
      </c>
    </row>
    <row r="26" ht="15" customHeight="1">
      <c r="A26" s="2">
        <v>25</v>
      </c>
      <c r="B26" s="3" t="s">
        <v>161</v>
      </c>
      <c r="C26" s="3" t="s">
        <v>162</v>
      </c>
      <c r="D26" s="2" t="s">
        <v>16</v>
      </c>
      <c r="E26" s="3" t="s">
        <v>16</v>
      </c>
      <c r="F26" s="3" t="s">
        <v>163</v>
      </c>
      <c r="G26" s="3" t="s">
        <v>164</v>
      </c>
      <c r="H26" s="3" t="s">
        <v>165</v>
      </c>
      <c r="I26" s="4">
        <v>5</v>
      </c>
      <c r="J26" s="4">
        <v>4</v>
      </c>
      <c r="K26" s="4">
        <v>1</v>
      </c>
      <c r="L26" s="4">
        <f t="shared" si="0"/>
        <v>10</v>
      </c>
      <c r="M26" s="4" t="str">
        <f t="shared" si="1"/>
        <v>Alta</v>
      </c>
      <c r="N26" s="5" t="s">
        <v>13</v>
      </c>
    </row>
    <row r="27" ht="15" customHeight="1">
      <c r="A27">
        <v>26</v>
      </c>
      <c r="B27" s="6" t="s">
        <v>166</v>
      </c>
      <c r="C27" s="6" t="s">
        <v>167</v>
      </c>
      <c r="D27" t="s">
        <v>16</v>
      </c>
      <c r="E27" s="6" t="s">
        <v>16</v>
      </c>
      <c r="F27" s="6" t="s">
        <v>168</v>
      </c>
      <c r="G27" s="6" t="s">
        <v>169</v>
      </c>
      <c r="H27" s="6" t="s">
        <v>170</v>
      </c>
      <c r="I27" s="7">
        <v>4</v>
      </c>
      <c r="J27" s="7">
        <v>4</v>
      </c>
      <c r="K27" s="7">
        <v>1</v>
      </c>
      <c r="L27" s="7">
        <f t="shared" si="0"/>
        <v>9</v>
      </c>
      <c r="M27" s="7" t="str">
        <f t="shared" si="1"/>
        <v>Media</v>
      </c>
      <c r="N27" s="8" t="s">
        <v>13</v>
      </c>
    </row>
    <row r="28" ht="15" customHeight="1">
      <c r="A28" s="2">
        <v>27</v>
      </c>
      <c r="B28" s="3" t="s">
        <v>171</v>
      </c>
      <c r="C28" s="3" t="s">
        <v>172</v>
      </c>
      <c r="D28" s="2" t="s">
        <v>16</v>
      </c>
      <c r="E28" s="3" t="s">
        <v>173</v>
      </c>
      <c r="F28" s="3" t="s">
        <v>174</v>
      </c>
      <c r="G28" s="3" t="s">
        <v>175</v>
      </c>
      <c r="H28" s="3" t="s">
        <v>176</v>
      </c>
      <c r="I28" s="4">
        <v>5</v>
      </c>
      <c r="J28" s="4">
        <v>4</v>
      </c>
      <c r="K28" s="4">
        <v>2</v>
      </c>
      <c r="L28" s="4">
        <f t="shared" si="0"/>
        <v>11</v>
      </c>
      <c r="M28" s="4" t="str">
        <f t="shared" si="1"/>
        <v>Alta</v>
      </c>
      <c r="N28" s="5" t="s">
        <v>13</v>
      </c>
    </row>
    <row r="29" ht="15" customHeight="1">
      <c r="A29">
        <v>28</v>
      </c>
      <c r="B29" s="6" t="s">
        <v>177</v>
      </c>
      <c r="C29" s="6" t="s">
        <v>178</v>
      </c>
      <c r="D29" t="s">
        <v>179</v>
      </c>
      <c r="E29" s="6" t="s">
        <v>180</v>
      </c>
      <c r="F29" s="6" t="s">
        <v>181</v>
      </c>
      <c r="G29" s="6" t="s">
        <v>182</v>
      </c>
      <c r="H29" s="6" t="s">
        <v>183</v>
      </c>
      <c r="I29" s="7">
        <v>5</v>
      </c>
      <c r="J29" s="7">
        <v>3</v>
      </c>
      <c r="K29" s="7">
        <v>1</v>
      </c>
      <c r="L29" s="7">
        <f t="shared" si="0"/>
        <v>9</v>
      </c>
      <c r="M29" s="7" t="str">
        <f t="shared" si="1"/>
        <v>Media</v>
      </c>
      <c r="N29" s="8" t="s">
        <v>13</v>
      </c>
    </row>
    <row r="30" ht="15" customHeight="1">
      <c r="A30" s="2">
        <v>29</v>
      </c>
      <c r="B30" s="3" t="s">
        <v>184</v>
      </c>
      <c r="C30" s="3" t="s">
        <v>185</v>
      </c>
      <c r="D30" s="2" t="s">
        <v>16</v>
      </c>
      <c r="E30" s="3" t="s">
        <v>16</v>
      </c>
      <c r="F30" s="3" t="s">
        <v>186</v>
      </c>
      <c r="G30" s="3" t="s">
        <v>187</v>
      </c>
      <c r="H30" s="3" t="s">
        <v>188</v>
      </c>
      <c r="I30" s="4">
        <v>4</v>
      </c>
      <c r="J30" s="4">
        <v>2</v>
      </c>
      <c r="K30" s="4"/>
      <c r="L30" s="4">
        <f t="shared" si="0"/>
        <v>6</v>
      </c>
      <c r="M30" s="4" t="str">
        <f t="shared" si="1"/>
        <v>Baja</v>
      </c>
      <c r="N30" s="5" t="s">
        <v>13</v>
      </c>
    </row>
    <row r="31" ht="15" customHeight="1">
      <c r="A31">
        <v>30</v>
      </c>
      <c r="B31" s="6" t="s">
        <v>189</v>
      </c>
      <c r="C31" s="6" t="s">
        <v>190</v>
      </c>
      <c r="D31" t="s">
        <v>16</v>
      </c>
      <c r="E31" s="6" t="s">
        <v>191</v>
      </c>
      <c r="F31" s="6" t="s">
        <v>192</v>
      </c>
      <c r="G31" s="6" t="s">
        <v>193</v>
      </c>
      <c r="H31" s="6" t="s">
        <v>194</v>
      </c>
      <c r="I31" s="7">
        <v>3</v>
      </c>
      <c r="J31" s="7">
        <v>2</v>
      </c>
      <c r="K31" s="7"/>
      <c r="L31" s="7">
        <f t="shared" si="0"/>
        <v>5</v>
      </c>
      <c r="M31" s="7" t="str">
        <f t="shared" si="1"/>
        <v>Baja</v>
      </c>
      <c r="N31" s="8" t="s">
        <v>13</v>
      </c>
    </row>
    <row r="32" ht="15" customHeight="1">
      <c r="A32" s="2">
        <v>31</v>
      </c>
      <c r="B32" s="3" t="s">
        <v>195</v>
      </c>
      <c r="C32" s="3" t="s">
        <v>196</v>
      </c>
      <c r="D32" s="2" t="s">
        <v>16</v>
      </c>
      <c r="E32" s="3" t="s">
        <v>16</v>
      </c>
      <c r="F32" s="3" t="s">
        <v>197</v>
      </c>
      <c r="G32" s="3" t="s">
        <v>198</v>
      </c>
      <c r="H32" s="3" t="s">
        <v>199</v>
      </c>
      <c r="I32" s="4">
        <v>3</v>
      </c>
      <c r="J32" s="4">
        <v>2</v>
      </c>
      <c r="K32" s="4"/>
      <c r="L32" s="4">
        <f t="shared" si="0"/>
        <v>5</v>
      </c>
      <c r="M32" s="4" t="str">
        <f t="shared" si="1"/>
        <v>Baja</v>
      </c>
      <c r="N32" s="5" t="s">
        <v>13</v>
      </c>
    </row>
    <row r="33" ht="15" customHeight="1">
      <c r="A33">
        <v>32</v>
      </c>
      <c r="B33" s="6" t="s">
        <v>200</v>
      </c>
      <c r="C33" s="6" t="s">
        <v>162</v>
      </c>
      <c r="D33" t="s">
        <v>201</v>
      </c>
      <c r="E33" s="6" t="s">
        <v>49</v>
      </c>
      <c r="F33" s="6" t="s">
        <v>202</v>
      </c>
      <c r="G33" s="6" t="s">
        <v>203</v>
      </c>
      <c r="H33" s="6" t="s">
        <v>204</v>
      </c>
      <c r="I33" s="7">
        <v>3</v>
      </c>
      <c r="J33" s="7">
        <v>3</v>
      </c>
      <c r="K33" s="7">
        <v>1</v>
      </c>
      <c r="L33" s="7">
        <f t="shared" si="0"/>
        <v>7</v>
      </c>
      <c r="M33" s="7" t="str">
        <f t="shared" si="1"/>
        <v>Media</v>
      </c>
      <c r="N33" s="8" t="s">
        <v>13</v>
      </c>
    </row>
    <row r="34" ht="15" customHeight="1">
      <c r="A34" s="2">
        <v>33</v>
      </c>
      <c r="B34" s="3" t="s">
        <v>205</v>
      </c>
      <c r="C34" s="3" t="s">
        <v>206</v>
      </c>
      <c r="D34" s="2" t="s">
        <v>180</v>
      </c>
      <c r="E34" s="3" t="s">
        <v>180</v>
      </c>
      <c r="F34" s="3" t="s">
        <v>207</v>
      </c>
      <c r="G34" s="3" t="s">
        <v>208</v>
      </c>
      <c r="H34" s="3" t="s">
        <v>209</v>
      </c>
      <c r="I34" s="4">
        <v>2</v>
      </c>
      <c r="J34" s="4">
        <v>2</v>
      </c>
      <c r="K34" s="4"/>
      <c r="L34" s="4">
        <f t="shared" si="0"/>
        <v>4</v>
      </c>
      <c r="M34" s="4" t="str">
        <f t="shared" si="1"/>
        <v>Baja</v>
      </c>
      <c r="N34" s="5" t="s">
        <v>13</v>
      </c>
    </row>
    <row r="35" ht="15" customHeight="1">
      <c r="A35">
        <v>34</v>
      </c>
      <c r="B35" s="6" t="s">
        <v>210</v>
      </c>
      <c r="C35" s="6" t="s">
        <v>211</v>
      </c>
      <c r="D35" t="s">
        <v>16</v>
      </c>
      <c r="E35" s="6" t="s">
        <v>16</v>
      </c>
      <c r="F35" s="6" t="s">
        <v>212</v>
      </c>
      <c r="G35" s="6" t="s">
        <v>208</v>
      </c>
      <c r="H35" s="6" t="s">
        <v>213</v>
      </c>
      <c r="I35" s="7">
        <v>2</v>
      </c>
      <c r="J35" s="7">
        <v>3</v>
      </c>
      <c r="K35" s="7"/>
      <c r="L35" s="7">
        <f t="shared" si="0"/>
        <v>5</v>
      </c>
      <c r="M35" s="7" t="str">
        <f t="shared" si="1"/>
        <v>Baja</v>
      </c>
      <c r="N35" s="8" t="s">
        <v>13</v>
      </c>
    </row>
    <row r="36" ht="15" customHeight="1">
      <c r="A36" s="2">
        <v>35</v>
      </c>
      <c r="B36" s="3" t="s">
        <v>214</v>
      </c>
      <c r="C36" s="3" t="s">
        <v>215</v>
      </c>
      <c r="D36" s="2" t="s">
        <v>216</v>
      </c>
      <c r="E36" s="3" t="s">
        <v>216</v>
      </c>
      <c r="F36" s="3" t="s">
        <v>217</v>
      </c>
      <c r="G36" s="3" t="s">
        <v>208</v>
      </c>
      <c r="H36" s="3" t="s">
        <v>218</v>
      </c>
      <c r="I36" s="4">
        <v>2</v>
      </c>
      <c r="J36" s="4">
        <v>3</v>
      </c>
      <c r="K36" s="4"/>
      <c r="L36" s="4">
        <f t="shared" si="0"/>
        <v>5</v>
      </c>
      <c r="M36" s="4" t="str">
        <f t="shared" si="1"/>
        <v>Baja</v>
      </c>
      <c r="N36" s="5" t="s">
        <v>13</v>
      </c>
    </row>
    <row r="38" ht="30" customHeight="1">
      <c r="A38" s="9" t="s">
        <v>219</v>
      </c>
    </row>
  </sheetData>
  <mergeCells>
    <mergeCell ref="A38:N38"/>
  </mergeCells>
  <conditionalFormatting sqref="M2:M36">
    <cfRule type="cellIs" dxfId="0" priority="3" operator="equal" text="null">
      <formula>"Alta"</formula>
    </cfRule>
  </conditionalFormatting>
  <conditionalFormatting sqref="M2:M36">
    <cfRule type="cellIs" dxfId="1" priority="2" operator="equal" text="null">
      <formula>"Media"</formula>
    </cfRule>
  </conditionalFormatting>
  <conditionalFormatting sqref="M2:M36">
    <cfRule type="cellIs" dxfId="2" priority="1" operator="equal" text="null">
      <formula>"Baja"</formula>
    </cfRule>
  </conditionalFormatting>
  <hyperlinks>
    <hyperlink ref="N2" r:id="rId1" display="Fuente" tooltip="https://clinicaneleva.com/contacto/"/>
    <hyperlink ref="N3" r:id="rId2" display="Fuente" tooltip="https://agereversal.es/"/>
    <hyperlink ref="N4" r:id="rId3" display="Fuente" tooltip="https://shawellness.com/en/contact-us/"/>
    <hyperlink ref="N5" r:id="rId4" display="Fuente" tooltip="https://www.buchinger-wilhelmi.com/es/buchinger-wilhelmi-marbella/"/>
    <hyperlink ref="N6" r:id="rId5" display="Fuente" tooltip="https://olympia.quironsalud.com/es/lifestyle-center/unidad-longevidad"/>
    <hyperlink ref="N7" r:id="rId6" display="Fuente" tooltip="https://www.lonvida.com/"/>
    <hyperlink ref="N8" r:id="rId7" display="Fuente" tooltip="https://well-ness.care/contacto.html"/>
    <hyperlink ref="N9" r:id="rId8" display="Fuente" tooltip="https://drjoaqui.com/"/>
    <hyperlink ref="N10" r:id="rId9" display="Fuente" tooltip="https://www.longevity-institute.com/es"/>
    <hyperlink ref="N11" r:id="rId10" display="Fuente" tooltip="https://www.instagram.com/reel/DWRX4jXjZOV/"/>
    <hyperlink ref="N12" r:id="rId11" display="Fuente" tooltip="https://www.fitnessrevolucionario.com/sobre-el-autor/"/>
    <hyperlink ref="N13" r:id="rId12" display="Fuente" tooltip="https://www.instagram.com/misrecetasanticancer/"/>
    <hyperlink ref="N14" r:id="rId13" display="Fuente" tooltip="https://www.youtube.com/watch?v=-4ZP7ezWJq8"/>
    <hyperlink ref="N15" r:id="rId14" display="Fuente" tooltip="https://www.fitnessrevolucionario.com/2017/01/25/episodio-81-mitos-de-nutricion-y-recomendaciones-para-comer-mejor-con-aitor-sanchez/"/>
    <hyperlink ref="N16" r:id="rId15" display="Fuente" tooltip="https://www.instagram.com/nutritionisthenewblack/"/>
    <hyperlink ref="N17" r:id="rId16" display="Fuente" tooltip="https://www.drasariarponen.com/"/>
    <hyperlink ref="N18" r:id="rId17" display="Fuente" tooltip="https://www.instagram.com/marioalonsopuig/"/>
    <hyperlink ref="N19" r:id="rId18" display="Fuente" tooltip="https://www.sabervivirtv.com/bienestar/las-claves-de-la-felicidad-de-marian-rojas-estape-luis-rojas-marcos-mario-alonso-puig_12238"/>
    <hyperlink ref="N20" r:id="rId19" display="Fuente" tooltip="https://www.instagram.com/anaibanez_g/"/>
    <hyperlink ref="N21" r:id="rId20" display="Fuente" tooltip="https://gymvirtual.com/contacto/"/>
    <hyperlink ref="N22" r:id="rId21" display="Fuente" tooltip="https://www.instagram.com/doctorbayter/"/>
    <hyperlink ref="N23" r:id="rId22" display="Fuente" tooltip="https://drcarlosjaramillo.com/contacto/"/>
    <hyperlink ref="N24" r:id="rId23" display="Fuente" tooltip="https://misantoremedio.com/"/>
    <hyperlink ref="N25" r:id="rId24" display="Fuente" tooltip="https://www.seregalandudas.com/lety-y-ash"/>
    <hyperlink ref="N26" r:id="rId25" display="Fuente" tooltip="https://belevels.com/"/>
    <hyperlink ref="N27" r:id="rId26" display="Fuente" tooltip="https://cincodias.elpais.com/companias/2025-08-29/la-empresa-de-rafa-nadal-de-complementos-alimenticios-pierde-19-millones-en-su-primer-ano.html"/>
    <hyperlink ref="N28" r:id="rId27" display="Fuente" tooltip="https://yaba.life/es/about-us"/>
    <hyperlink ref="N29" r:id="rId28" display="Fuente" tooltip="https://www.forbesargentina.com/innovacion/terraflos-apuesta-longevidad-levanta-us-35-millones-combinar-ia-biotecnologia-biodiversidad-latinoamericana-n93167/"/>
    <hyperlink ref="N30" r:id="rId29" display="Fuente" tooltip="https://emprendedores.es/ideas-de-negocio/oportunidades-de-negocio/startups-que-trabajan-para-revertir-el-envejecimiento/"/>
    <hyperlink ref="N31" r:id="rId30" display="Fuente" tooltip="https://www.instagram.com/reel/DVeQGq5DeGQ/"/>
    <hyperlink ref="N32" r:id="rId31" display="Fuente" tooltip="https://www.youtube.com/watch?v=00CfvTHqF6M"/>
    <hyperlink ref="N33" r:id="rId32" display="Fuente" tooltip="https://www.youaresavvy.com/pages/carlos-jaramillo-director-cientifico-savvy"/>
    <hyperlink ref="N34" r:id="rId33" display="Fuente" tooltip="https://www.instagram.com/reel/C2RF-KjNoqj/"/>
    <hyperlink ref="N35" r:id="rId34" display="Fuente" tooltip="https://psicologiaymente.com/directorio/es/rankings/mejores-influencers-salud"/>
    <hyperlink ref="N36" r:id="rId35" display="Fuente" tooltip="https://brandme.la/influencers-de-salud/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E6F089C8-C608-83B4-8888-7CAE2F6ABEA7}" mc:Ignorable="x14ac xr xr2 xr3">
  <dimension ref="A1:GR1000"/>
  <sheetViews>
    <sheetView topLeftCell="A1" workbookViewId="0">
      <pane ySplit="1" topLeftCell="A2" activePane="bottomLeft" state="frozen"/>
      <selection pane="bottomLeft" activeCell="A1" sqref="A1"/>
    </sheetView>
  </sheetViews>
  <sheetFormatPr defaultRowHeight="15" defaultColWidth="8.8515625" customHeight="1"/>
  <cols>
    <col min="1" max="1" width="20.00390625" customWidth="1"/>
    <col min="2" max="2" width="34.28125" customWidth="1"/>
    <col min="3" max="3" width="15.7109375" customWidth="1"/>
    <col min="4" max="4" width="24.28125" customWidth="1"/>
    <col min="5" max="5" width="41.421875" customWidth="1"/>
    <col min="6" max="6" width="54.28125" customWidth="1"/>
    <col min="7" max="7" width="15.7109375" customWidth="1"/>
    <col min="8" max="8" width="51.421875" customWidth="1"/>
  </cols>
  <sheetData>
    <row r="1" ht="30" customHeight="1">
      <c r="A1" s="10" t="s">
        <v>220</v>
      </c>
      <c r="B1" s="10" t="s">
        <v>221</v>
      </c>
      <c r="C1" s="10" t="s">
        <v>222</v>
      </c>
      <c r="D1" s="10" t="s">
        <v>223</v>
      </c>
      <c r="E1" s="10" t="s">
        <v>224</v>
      </c>
      <c r="F1" s="10" t="s">
        <v>225</v>
      </c>
      <c r="G1" s="10" t="s">
        <v>226</v>
      </c>
      <c r="H1" s="10" t="s">
        <v>13</v>
      </c>
    </row>
    <row r="2" ht="15" customHeight="1">
      <c r="A2" t="s">
        <v>227</v>
      </c>
      <c r="B2" s="6" t="s">
        <v>228</v>
      </c>
      <c r="C2" s="11">
        <v>452599</v>
      </c>
      <c r="D2" t="s">
        <v>229</v>
      </c>
      <c r="E2" s="6" t="s">
        <v>230</v>
      </c>
      <c r="F2" s="6" t="s">
        <v>231</v>
      </c>
      <c r="G2" s="7" t="s">
        <v>232</v>
      </c>
      <c r="H2" s="8" t="s">
        <v>233</v>
      </c>
    </row>
    <row r="3" ht="15" customHeight="1">
      <c r="A3" t="s">
        <v>234</v>
      </c>
      <c r="B3" s="6" t="s">
        <v>235</v>
      </c>
      <c r="C3" s="11">
        <v>1000000</v>
      </c>
      <c r="D3" t="s">
        <v>236</v>
      </c>
      <c r="E3" s="6" t="s">
        <v>237</v>
      </c>
      <c r="F3" s="6" t="s">
        <v>238</v>
      </c>
      <c r="G3" s="7" t="s">
        <v>232</v>
      </c>
      <c r="H3" s="8" t="s">
        <v>239</v>
      </c>
    </row>
    <row r="4" ht="15" customHeight="1">
      <c r="A4" t="s">
        <v>240</v>
      </c>
      <c r="B4" s="6" t="s">
        <v>241</v>
      </c>
      <c r="C4" s="11">
        <v>2100000</v>
      </c>
      <c r="D4" t="s">
        <v>242</v>
      </c>
      <c r="E4" s="6" t="s">
        <v>243</v>
      </c>
      <c r="F4" s="6" t="s">
        <v>244</v>
      </c>
      <c r="G4" s="7" t="s">
        <v>232</v>
      </c>
      <c r="H4" s="8" t="s">
        <v>245</v>
      </c>
    </row>
    <row r="5" ht="15" customHeight="1">
      <c r="A5" t="s">
        <v>246</v>
      </c>
      <c r="B5" s="6" t="s">
        <v>247</v>
      </c>
      <c r="C5" s="11">
        <v>10000000</v>
      </c>
      <c r="D5">
        <v>2026</v>
      </c>
      <c r="E5" s="6" t="s">
        <v>248</v>
      </c>
      <c r="F5" s="6" t="s">
        <v>249</v>
      </c>
      <c r="G5" s="7" t="s">
        <v>250</v>
      </c>
      <c r="H5" s="8" t="s">
        <v>233</v>
      </c>
    </row>
    <row r="6" ht="15" customHeight="1">
      <c r="A6" t="s">
        <v>251</v>
      </c>
      <c r="B6" s="6" t="s">
        <v>252</v>
      </c>
      <c r="C6" s="11">
        <v>70000000</v>
      </c>
      <c r="D6" t="s">
        <v>253</v>
      </c>
      <c r="E6" s="6" t="s">
        <v>254</v>
      </c>
      <c r="F6" s="6" t="s">
        <v>255</v>
      </c>
      <c r="G6" s="7" t="s">
        <v>250</v>
      </c>
      <c r="H6" s="8" t="s">
        <v>233</v>
      </c>
    </row>
    <row r="7" ht="15" customHeight="1">
      <c r="A7" t="s">
        <v>256</v>
      </c>
      <c r="B7" s="6" t="s">
        <v>257</v>
      </c>
      <c r="C7" s="11">
        <v>2750000</v>
      </c>
      <c r="D7" t="s">
        <v>258</v>
      </c>
      <c r="E7" s="6" t="s">
        <v>259</v>
      </c>
      <c r="F7" s="6" t="s">
        <v>260</v>
      </c>
      <c r="G7" s="7" t="s">
        <v>250</v>
      </c>
      <c r="H7" s="8" t="s">
        <v>233</v>
      </c>
    </row>
    <row r="8" ht="15" customHeight="1">
      <c r="A8" t="s">
        <v>261</v>
      </c>
      <c r="B8" s="6" t="s">
        <v>262</v>
      </c>
      <c r="C8" s="11">
        <v>74988</v>
      </c>
      <c r="D8" t="s">
        <v>263</v>
      </c>
      <c r="E8" s="6" t="s">
        <v>264</v>
      </c>
      <c r="F8" s="6" t="s">
        <v>265</v>
      </c>
      <c r="G8" s="7" t="s">
        <v>266</v>
      </c>
      <c r="H8" s="8" t="s">
        <v>233</v>
      </c>
    </row>
    <row r="9" ht="15" customHeight="1">
      <c r="A9" t="s">
        <v>267</v>
      </c>
      <c r="B9" s="6" t="s">
        <v>268</v>
      </c>
      <c r="C9" s="11">
        <v>165000</v>
      </c>
      <c r="D9">
        <v>2026</v>
      </c>
      <c r="E9" s="6" t="s">
        <v>269</v>
      </c>
      <c r="F9" s="6" t="s">
        <v>270</v>
      </c>
      <c r="G9" s="7" t="s">
        <v>266</v>
      </c>
      <c r="H9" s="8" t="s">
        <v>233</v>
      </c>
    </row>
    <row r="10" ht="15" customHeight="1">
      <c r="A10" t="s">
        <v>271</v>
      </c>
      <c r="B10" s="6" t="s">
        <v>272</v>
      </c>
      <c r="C10" s="11">
        <v>400000</v>
      </c>
      <c r="D10">
        <v>2026</v>
      </c>
      <c r="E10" s="6" t="s">
        <v>273</v>
      </c>
      <c r="F10" s="6" t="s">
        <v>274</v>
      </c>
      <c r="G10" s="7" t="s">
        <v>250</v>
      </c>
      <c r="H10" s="8" t="s">
        <v>233</v>
      </c>
    </row>
    <row r="11" ht="15" customHeight="1">
      <c r="A11" t="s">
        <v>275</v>
      </c>
      <c r="B11" s="6" t="s">
        <v>276</v>
      </c>
      <c r="C11" s="11">
        <v>20000</v>
      </c>
      <c r="D11" t="s">
        <v>277</v>
      </c>
      <c r="E11" s="6" t="s">
        <v>278</v>
      </c>
      <c r="F11" s="6" t="s">
        <v>279</v>
      </c>
      <c r="G11" s="7" t="s">
        <v>280</v>
      </c>
      <c r="H11" s="8" t="s">
        <v>233</v>
      </c>
    </row>
    <row r="13" ht="30" customHeight="1">
      <c r="A13" s="9" t="s">
        <v>281</v>
      </c>
    </row>
  </sheetData>
  <mergeCells>
    <mergeCell ref="A13:H13"/>
  </mergeCells>
  <conditionalFormatting sqref="G2:G11">
    <cfRule type="cellIs" dxfId="0" priority="4" operator="equal" text="null">
      <formula>"Directa"</formula>
    </cfRule>
  </conditionalFormatting>
  <conditionalFormatting sqref="G2:G11">
    <cfRule type="cellIs" dxfId="3" priority="3" operator="equal" text="null">
      <formula>"Techo"</formula>
    </cfRule>
  </conditionalFormatting>
  <conditionalFormatting sqref="G2:G11">
    <cfRule type="cellIs" dxfId="4" priority="2" operator="equal" text="null">
      <formula>"Contexto"</formula>
    </cfRule>
  </conditionalFormatting>
  <conditionalFormatting sqref="G2:G11">
    <cfRule type="cellIs" dxfId="1" priority="1" operator="equal" text="null">
      <formula>"Piso"</formula>
    </cfRule>
  </conditionalFormatting>
  <hyperlinks>
    <hyperlink ref="H2" r:id="rId1" display="www.dnjournal.com" tooltip="https://www.dnjournal.com/articles/companies/2015/viajes.com.htm"/>
    <hyperlink ref="H3" r:id="rId2" display="dnjournal.com" tooltip="https://dnjournal.com/articles/cctld/spanishmarket.htm"/>
    <hyperlink ref="H4" r:id="rId3" display="www.namepros.com" tooltip="https://www.namepros.com/blog/why-did-vivo-pay-2-1-million-for-vivo-com.982734/"/>
    <hyperlink ref="H5" r:id="rId4" display="www.dnjournal.com" tooltip="https://www.dnjournal.com/ytd-sales-charts.htm"/>
    <hyperlink ref="H6" r:id="rId5" display="www.dnjournal.com" tooltip="https://www.dnjournal.com/"/>
    <hyperlink ref="H7" r:id="rId6" display="www.dnjournal.com" tooltip="https://www.dnjournal.com/archive/domainsales/2004/domainsales07_27_04.htm"/>
    <hyperlink ref="H8" r:id="rId7" display="www.dnjournal.com" tooltip="https://www.dnjournal.com/ytd-sales-charts.htm"/>
    <hyperlink ref="H9" r:id="rId8" display="www.dnjournal.com" tooltip="https://www.dnjournal.com/ytd-sales-charts.htm"/>
    <hyperlink ref="H10" r:id="rId9" display="www.dnjournal.com" tooltip="https://www.dnjournal.com/domainsales.htm"/>
    <hyperlink ref="H11" r:id="rId10" display="www.dnjournal.com" tooltip="https://www.dnjournal.com/archive/domainsales/2003/domainsales11_04_03.htm"/>
  </hyperlink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BE667AE-01FC-8BEC-CF1C-C9F2DD33CA88}" mc:Ignorable="x14ac xr xr2 xr3">
  <dimension ref="A1:GR1000"/>
  <sheetViews>
    <sheetView topLeftCell="A1" workbookViewId="0">
      <pane ySplit="1" topLeftCell="A2" activePane="bottomLeft" state="frozen"/>
      <selection pane="bottomLeft" activeCell="A1" sqref="A1:E1"/>
    </sheetView>
  </sheetViews>
  <sheetFormatPr defaultRowHeight="15" defaultColWidth="8.8515625" customHeight="1"/>
  <cols>
    <col min="1" max="1" width="34.28125" customWidth="1"/>
    <col min="2" max="2" width="38.57421875" customWidth="1"/>
    <col min="3" max="3" width="22.140625" customWidth="1"/>
    <col min="4" max="4" width="24.28125" customWidth="1"/>
    <col min="5" max="5" width="44.28125" customWidth="1"/>
  </cols>
  <sheetData>
    <row r="1" ht="22.5" customHeight="1">
      <c r="A1" s="12" t="s">
        <v>282</v>
      </c>
    </row>
    <row r="3" ht="15" customHeight="1">
      <c r="A3" s="13" t="s">
        <v>283</v>
      </c>
      <c r="B3" s="13" t="s">
        <v>284</v>
      </c>
      <c r="C3" s="13" t="s">
        <v>222</v>
      </c>
      <c r="D3" s="13" t="s">
        <v>285</v>
      </c>
    </row>
    <row r="4" ht="15.75" customHeight="1">
      <c r="A4" s="6" t="s">
        <v>286</v>
      </c>
      <c r="B4" s="6" t="s">
        <v>287</v>
      </c>
      <c r="C4" s="11">
        <f>AVERAGE(Comparables!C8,Comparables!C9)</f>
        <v>119994</v>
      </c>
      <c r="D4" s="6" t="s">
        <v>288</v>
      </c>
    </row>
    <row r="5" ht="15.75" customHeight="1">
      <c r="A5" s="6" t="s">
        <v>289</v>
      </c>
      <c r="B5" s="6" t="s">
        <v>290</v>
      </c>
      <c r="C5" s="11">
        <f>AVERAGE(Comparables!C2,Comparables!C4)</f>
        <v>1276299.5</v>
      </c>
      <c r="D5" s="6" t="s">
        <v>291</v>
      </c>
    </row>
    <row r="6" ht="15.75" customHeight="1">
      <c r="A6" s="6" t="s">
        <v>292</v>
      </c>
      <c r="B6" s="6" t="s">
        <v>293</v>
      </c>
      <c r="C6" s="14">
        <v>0.1</v>
      </c>
      <c r="D6" s="6" t="s">
        <v>294</v>
      </c>
    </row>
    <row r="8" ht="15" customHeight="1">
      <c r="A8" s="13" t="s">
        <v>295</v>
      </c>
      <c r="B8" s="13" t="s">
        <v>296</v>
      </c>
      <c r="C8" s="13" t="s">
        <v>297</v>
      </c>
      <c r="D8" s="13" t="s">
        <v>298</v>
      </c>
      <c r="E8" s="13" t="s">
        <v>299</v>
      </c>
    </row>
    <row r="9" ht="15.75" customHeight="1">
      <c r="A9" s="15" t="s">
        <v>300</v>
      </c>
      <c r="B9" s="15" t="s">
        <v>301</v>
      </c>
      <c r="C9" s="16">
        <f>C6*Comparables!C2</f>
        <v>45259.9</v>
      </c>
      <c r="D9" s="16">
        <f t="shared" si="0" ref="D9:D12">C9*1.8</f>
        <v>81467.82</v>
      </c>
      <c r="E9" s="15" t="s">
        <v>302</v>
      </c>
    </row>
    <row r="10" ht="15.75" customHeight="1">
      <c r="A10" s="15" t="s">
        <v>303</v>
      </c>
      <c r="B10" s="15" t="s">
        <v>304</v>
      </c>
      <c r="C10" s="16">
        <f>AVERAGE(Comparables!C8,Comparables!C9)*1.5</f>
        <v>179991</v>
      </c>
      <c r="D10" s="16">
        <f t="shared" si="0"/>
        <v>323983.8</v>
      </c>
      <c r="E10" s="15" t="s">
        <v>305</v>
      </c>
    </row>
    <row r="11" ht="15.75" customHeight="1">
      <c r="A11" s="15" t="s">
        <v>306</v>
      </c>
      <c r="B11" s="15" t="s">
        <v>307</v>
      </c>
      <c r="C11" s="16">
        <f>MAX(Comparables!C8,Comparables!C9)*1.5</f>
        <v>247500</v>
      </c>
      <c r="D11" s="16">
        <f t="shared" si="0"/>
        <v>445500</v>
      </c>
      <c r="E11" s="15" t="s">
        <v>308</v>
      </c>
    </row>
    <row r="12" ht="15.75" customHeight="1">
      <c r="A12" s="15" t="s">
        <v>309</v>
      </c>
      <c r="B12" s="15" t="s">
        <v>310</v>
      </c>
      <c r="C12" s="16">
        <f>Comparables!C4*0.15</f>
        <v>315000</v>
      </c>
      <c r="D12" s="16">
        <f t="shared" si="0"/>
        <v>567000</v>
      </c>
      <c r="E12" s="15" t="s">
        <v>311</v>
      </c>
    </row>
    <row r="14" ht="12.75" customHeight="1">
      <c r="A14" s="17" t="s">
        <v>312</v>
      </c>
    </row>
    <row r="16" ht="15" customHeight="1">
      <c r="A16" s="18" t="s">
        <v>313</v>
      </c>
    </row>
    <row r="17" ht="15.75" customHeight="1">
      <c r="A17" s="6" t="s">
        <v>314</v>
      </c>
      <c r="B17" s="11">
        <f>ROUND(C11,-3)</f>
        <v>248000</v>
      </c>
      <c r="C17" s="6" t="s">
        <v>315</v>
      </c>
    </row>
    <row r="18" ht="15.75" customHeight="1">
      <c r="A18" s="6" t="s">
        <v>316</v>
      </c>
      <c r="B18" t="str">
        <f>TEXT(ROUND(C9,-3),"$#,##0")&amp;" – "&amp;TEXT(ROUND(C10,-3),"$#,##0")</f>
        <v>$45,000 – $180,000</v>
      </c>
      <c r="C18" s="6" t="s">
        <v>318</v>
      </c>
    </row>
    <row r="19" ht="15.75" customHeight="1">
      <c r="A19" s="6" t="s">
        <v>319</v>
      </c>
      <c r="B19" s="11">
        <f>ROUND(C9*0.7,-3)</f>
        <v>32000</v>
      </c>
      <c r="C19" s="6" t="s">
        <v>320</v>
      </c>
    </row>
    <row r="21" ht="12.75" customHeight="1">
      <c r="A21" s="17" t="s">
        <v>321</v>
      </c>
    </row>
    <row r="23" ht="15" customHeight="1">
      <c r="A23" s="18" t="s">
        <v>322</v>
      </c>
    </row>
    <row r="24" ht="15.75" customHeight="1">
      <c r="A24" s="6" t="s">
        <v>323</v>
      </c>
      <c r="B24" s="6" t="s">
        <v>324</v>
      </c>
    </row>
    <row r="25" ht="15.75" customHeight="1">
      <c r="A25" s="6" t="s">
        <v>325</v>
      </c>
      <c r="B25" s="6" t="s">
        <v>326</v>
      </c>
    </row>
    <row r="26" ht="15.75" customHeight="1">
      <c r="A26" s="6" t="s">
        <v>327</v>
      </c>
      <c r="B26" s="6" t="s">
        <v>328</v>
      </c>
    </row>
    <row r="27" ht="15.75" customHeight="1">
      <c r="A27" s="6" t="s">
        <v>329</v>
      </c>
      <c r="B27" s="6" t="s">
        <v>330</v>
      </c>
    </row>
    <row r="28" ht="15.75" customHeight="1">
      <c r="A28" s="6" t="s">
        <v>331</v>
      </c>
      <c r="B28" s="6" t="s">
        <v>332</v>
      </c>
    </row>
  </sheetData>
  <mergeCells>
    <mergeCell ref="A1:E1"/>
    <mergeCell ref="A14:E14"/>
    <mergeCell ref="A16:E16"/>
    <mergeCell ref="C17:E17"/>
    <mergeCell ref="C18:E18"/>
    <mergeCell ref="C19:E19"/>
    <mergeCell ref="A21:E21"/>
    <mergeCell ref="A23:E23"/>
    <mergeCell ref="B24:E24"/>
    <mergeCell ref="B25:E25"/>
    <mergeCell ref="B26:E26"/>
    <mergeCell ref="B27:E27"/>
    <mergeCell ref="B28:E28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2026-07-30T16:13:19Z</dcterms:created>
</cp:coreProperties>
</file>